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1"/>
  <workbookPr codeName="ThisWorkbook"/>
  <mc:AlternateContent xmlns:mc="http://schemas.openxmlformats.org/markup-compatibility/2006">
    <mc:Choice Requires="x15">
      <x15ac:absPath xmlns:x15ac="http://schemas.microsoft.com/office/spreadsheetml/2010/11/ac" url="/Users/flavia_ungarelli/Dropbox/Kenya Lactation Rooms/9.SCALEUP/HFC/3_checks/1_inputs/1_Baseline/"/>
    </mc:Choice>
  </mc:AlternateContent>
  <xr:revisionPtr revIDLastSave="0" documentId="13_ncr:1_{218D4C8B-DA30-D14B-8356-78AE9000D25B}" xr6:coauthVersionLast="47" xr6:coauthVersionMax="47" xr10:uidLastSave="{00000000-0000-0000-0000-000000000000}"/>
  <bookViews>
    <workbookView xWindow="3180" yWindow="500" windowWidth="25620" windowHeight="17500" activeTab="2" xr2:uid="{00000000-000D-0000-FFFF-FFFF00000000}"/>
  </bookViews>
  <sheets>
    <sheet name="instructions" sheetId="17" r:id="rId1"/>
    <sheet name="constraints" sheetId="16" r:id="rId2"/>
    <sheet name="logic" sheetId="18" r:id="rId3"/>
    <sheet name="other specify" sheetId="9" r:id="rId4"/>
    <sheet name="text audits" sheetId="13" state="hidden"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16" l="1"/>
  <c r="I5" i="18"/>
  <c r="I4" i="18"/>
  <c r="C2" i="16"/>
  <c r="F13" i="16"/>
</calcChain>
</file>

<file path=xl/sharedStrings.xml><?xml version="1.0" encoding="utf-8"?>
<sst xmlns="http://schemas.openxmlformats.org/spreadsheetml/2006/main" count="498" uniqueCount="394">
  <si>
    <t>notes</t>
  </si>
  <si>
    <t>child</t>
  </si>
  <si>
    <t>parent</t>
  </si>
  <si>
    <t>variable</t>
  </si>
  <si>
    <t>label</t>
  </si>
  <si>
    <t>by</t>
  </si>
  <si>
    <t>method</t>
  </si>
  <si>
    <t>combine</t>
  </si>
  <si>
    <t>sd</t>
  </si>
  <si>
    <t>groupname</t>
  </si>
  <si>
    <t>exclude_variable</t>
  </si>
  <si>
    <t>keep</t>
  </si>
  <si>
    <t>mean</t>
  </si>
  <si>
    <t>show_mean_as</t>
  </si>
  <si>
    <t>min</t>
  </si>
  <si>
    <t>median</t>
  </si>
  <si>
    <t>max</t>
  </si>
  <si>
    <t>parent label</t>
  </si>
  <si>
    <t>child label</t>
  </si>
  <si>
    <t>hard_min</t>
  </si>
  <si>
    <t>soft_min</t>
  </si>
  <si>
    <t>soft_max</t>
  </si>
  <si>
    <t>hard_max</t>
  </si>
  <si>
    <t>column</t>
  </si>
  <si>
    <t>required</t>
  </si>
  <si>
    <t>description</t>
  </si>
  <si>
    <t>example</t>
  </si>
  <si>
    <t>no</t>
  </si>
  <si>
    <t>other specify</t>
  </si>
  <si>
    <t>sheet</t>
  </si>
  <si>
    <t>yes</t>
  </si>
  <si>
    <t>outliers</t>
  </si>
  <si>
    <t>constraints</t>
  </si>
  <si>
    <t>enumstats</t>
  </si>
  <si>
    <r>
      <rPr>
        <b/>
        <sz val="16"/>
        <rFont val="Calibri"/>
        <family val="2"/>
      </rPr>
      <t>DATA MANAGEMENT SYSTEM</t>
    </r>
    <r>
      <rPr>
        <sz val="16"/>
        <rFont val="Calibri"/>
        <family val="2"/>
      </rPr>
      <t xml:space="preserve">
</t>
    </r>
    <r>
      <rPr>
        <i/>
        <sz val="16"/>
        <rFont val="Calibri"/>
        <family val="2"/>
      </rPr>
      <t>input file</t>
    </r>
  </si>
  <si>
    <t xml:space="preserve">Specify the parent variable (s). The parent variable is the main variable which includes the "other (specify)" option. This is usually a select_one or select_multiple type question. </t>
  </si>
  <si>
    <r>
      <rPr>
        <b/>
        <sz val="11"/>
        <rFont val="Calibri"/>
        <family val="2"/>
      </rPr>
      <t>NOT USED:</t>
    </r>
    <r>
      <rPr>
        <sz val="11"/>
        <rFont val="Calibri"/>
        <family val="2"/>
      </rPr>
      <t xml:space="preserve"> Variable label for parent variable. </t>
    </r>
  </si>
  <si>
    <t xml:space="preserve">Specify the corresponding child variable (s). The child variable is the variable which holds the other specify value. This is usually a text field type question and is dependent on the parent variable. </t>
  </si>
  <si>
    <r>
      <rPr>
        <b/>
        <sz val="11"/>
        <rFont val="Calibri"/>
        <family val="2"/>
      </rPr>
      <t>NOT USED:</t>
    </r>
    <r>
      <rPr>
        <sz val="11"/>
        <rFont val="Calibri"/>
        <family val="2"/>
      </rPr>
      <t xml:space="preserve"> Variable label for parent variable.  </t>
    </r>
  </si>
  <si>
    <r>
      <rPr>
        <b/>
        <sz val="11"/>
        <rFont val="Calibri"/>
        <family val="2"/>
      </rPr>
      <t xml:space="preserve">NOT USED: </t>
    </r>
    <r>
      <rPr>
        <sz val="11"/>
        <rFont val="Calibri"/>
        <family val="2"/>
      </rPr>
      <t>User notes</t>
    </r>
  </si>
  <si>
    <t>Specify variable(s) to check for outliers. Only numeric variables are allowed</t>
  </si>
  <si>
    <r>
      <rPr>
        <b/>
        <sz val="11"/>
        <rFont val="Calibri"/>
        <family val="2"/>
      </rPr>
      <t xml:space="preserve">NOT USED: </t>
    </r>
    <r>
      <rPr>
        <sz val="11"/>
        <rFont val="Calibri"/>
        <family val="2"/>
      </rPr>
      <t>Variable label of outlier variable (s)</t>
    </r>
  </si>
  <si>
    <t>Specify variable to use as a by variable in outlier calculation. When the by variable is specified, outliers are checked within groups specified. eg, checking for outliers by treatment_status or region.</t>
  </si>
  <si>
    <t xml:space="preserve">Specify that outliers are flagged using inter-quartile range (IQR) or Standard Deviation (SD). The default is IQR. </t>
  </si>
  <si>
    <t>Specify that variables in the corresponding variable cell should be combined when calculating statistics for outlier check.</t>
  </si>
  <si>
    <r>
      <rPr>
        <b/>
        <sz val="11"/>
        <rFont val="Calibri"/>
        <family val="2"/>
      </rPr>
      <t>NOT USED:</t>
    </r>
    <r>
      <rPr>
        <sz val="11"/>
        <rFont val="Calibri"/>
        <family val="2"/>
      </rPr>
      <t xml:space="preserve"> User Notes.</t>
    </r>
  </si>
  <si>
    <t>Accepts Stata varlist syntax 
eg1. "religion"
eg2. "religion_1 regligion_2"
eg3. "religion_?"</t>
  </si>
  <si>
    <t>eg1. "What is your highest level of education?"</t>
  </si>
  <si>
    <t>Accepts Stata varlist syntax 
eg1. "religion_osp"
eg2. "religion_osp_1 religion_osp_2"
eg3. "religion_osp_?"</t>
  </si>
  <si>
    <t>eg1. "Specify other level of education:"</t>
  </si>
  <si>
    <t>eg1. "Education variables for all household members"</t>
  </si>
  <si>
    <t>Accepts Stata varlist syntax. 
eg1. "hhh_name - hhh_age" 
eg2. "hhh_*"
eg3. "hhh_name hhh_sex hhh_education hhh_age"</t>
  </si>
  <si>
    <t>Accepts Stata varlist syntax. 
eg1. "hh_incom"
eg2. "hhm_cost_r1 hhm_cost_r2 hhm_cost_r3"
eg3. "hhm_cost_r*"</t>
  </si>
  <si>
    <t>eg1. "treatment_status"
eg2. "region"</t>
  </si>
  <si>
    <t>eg1. "sd"</t>
  </si>
  <si>
    <t>eg1. "yes"</t>
  </si>
  <si>
    <t xml:space="preserve">Specify additional variables to show in the output file. By default the id, enumerator, date, parent and child variables will be included in the output. </t>
  </si>
  <si>
    <t>Specify variable(s) to check for constraints. Only numeric variables are allowed</t>
  </si>
  <si>
    <r>
      <rPr>
        <b/>
        <sz val="11"/>
        <rFont val="Calibri"/>
        <family val="2"/>
      </rPr>
      <t xml:space="preserve">NOT USED: </t>
    </r>
    <r>
      <rPr>
        <sz val="11"/>
        <rFont val="Calibri"/>
        <family val="2"/>
      </rPr>
      <t xml:space="preserve">Variable label for constraint variable(s). </t>
    </r>
  </si>
  <si>
    <t>eg1. "What was the total income for this household in the month of August 2022?"</t>
  </si>
  <si>
    <t>eg1. "0"
eg2. "hhh_age"
eg3. "hhm_age_r*"</t>
  </si>
  <si>
    <t>Specify soft maximum value or variable. Values greater than the specified hard maximum will be flagged as a hard maximum violation.</t>
  </si>
  <si>
    <t>Specify soft minimum value or variable. Values less than the specified soft minimum will be flagged as a soft minimum violation.</t>
  </si>
  <si>
    <t>Specify soft maximum value or variable. Values greater than the specified soft maximum will be flagged as a soft maximum violation.</t>
  </si>
  <si>
    <t>Specify hard minimum value or variable. Value less than the specified hard minimum will be flagged as a hard minimum violation.</t>
  </si>
  <si>
    <t>eg1. "18"
eg2. "hhh_age"
eg3. "hhm_age_r*"</t>
  </si>
  <si>
    <t>eg1. "80"
eg2. "hhh_age"
eg3. "hhm_age_r*"</t>
  </si>
  <si>
    <t>eg1. "120"
eg2. "hhh_age"
eg3. "hhm_age_r*"</t>
  </si>
  <si>
    <r>
      <rPr>
        <b/>
        <sz val="11"/>
        <rFont val="Calibri"/>
        <family val="2"/>
      </rPr>
      <t>NOT USED:</t>
    </r>
    <r>
      <rPr>
        <sz val="11"/>
        <rFont val="Calibri"/>
        <family val="2"/>
      </rPr>
      <t xml:space="preserve"> U</t>
    </r>
    <r>
      <rPr>
        <sz val="11"/>
        <rFont val="Calibri"/>
        <family val="2"/>
      </rPr>
      <t>ser notes.</t>
    </r>
  </si>
  <si>
    <t xml:space="preserve">Specify variable(s) to summarize by enumerator. These variable(s) must contain numeric values. </t>
  </si>
  <si>
    <t>Accepts Stata varlist syntax. 
eg1. "hh_size"
eg2. "hhm_cost_r1 hhm_cost_r2 hhm_cost_r3"
eg3. "hhm_cost_r*"</t>
  </si>
  <si>
    <r>
      <rPr>
        <b/>
        <sz val="11"/>
        <rFont val="Calibri"/>
        <family val="2"/>
      </rPr>
      <t>NOT USED:</t>
    </r>
    <r>
      <rPr>
        <sz val="11"/>
        <rFont val="Calibri"/>
        <family val="2"/>
      </rPr>
      <t xml:space="preserve"> Variable label for enumstats variable(s). </t>
    </r>
  </si>
  <si>
    <t>eg1. "How many people live in this household?"</t>
  </si>
  <si>
    <t>Specify that minimum value (s) of the variable (s) specified in the corresponding variables column should be included in the enumstats output.</t>
  </si>
  <si>
    <t>Specify that mean (average) value (s) of the variable (s) specified in the corresponding variables column should be included in the enumstats output.</t>
  </si>
  <si>
    <t xml:space="preserve">Specify that mean value (s) of the variable (s) specified in the corresponding variables column should be shown as a percentage. The default is to show as an integer. </t>
  </si>
  <si>
    <t>Specify that meadian (50th percentile) value (s) of the variable (s) specified in the corresponding variables column should be included in the enumstats output.</t>
  </si>
  <si>
    <t>Specify that standard deviation value (s) of the variable (s) specified in the corresponding variables column should be included in the enumstats output.</t>
  </si>
  <si>
    <t>Specify that maximum value (s) of the variable (s) specified in the corresponding variables column should be included in the enumstats output.</t>
  </si>
  <si>
    <t>Specify that variables in the corresponding variable cell should be combined when calculating enumerator statistics.</t>
  </si>
  <si>
    <r>
      <rPr>
        <b/>
        <sz val="11"/>
        <rFont val="Calibri"/>
        <family val="2"/>
      </rPr>
      <t>NOT USED:</t>
    </r>
    <r>
      <rPr>
        <sz val="11"/>
        <rFont val="Calibri"/>
        <family val="2"/>
      </rPr>
      <t xml:space="preserve"> User notes.</t>
    </r>
  </si>
  <si>
    <t>eg1. "Age for all household members"</t>
  </si>
  <si>
    <t>eg1. "Health expenses for all household members"</t>
  </si>
  <si>
    <t>eg1. "number"
eg1. "percentage"</t>
  </si>
  <si>
    <t>eg1. "Household Size statistics"</t>
  </si>
  <si>
    <t>assert</t>
  </si>
  <si>
    <t>if_condition</t>
  </si>
  <si>
    <t>logic</t>
  </si>
  <si>
    <t>Specify variable(s) for logic check</t>
  </si>
  <si>
    <r>
      <rPr>
        <b/>
        <sz val="11"/>
        <rFont val="Calibri"/>
        <family val="2"/>
      </rPr>
      <t>NOT USED:</t>
    </r>
    <r>
      <rPr>
        <sz val="11"/>
        <rFont val="Calibri"/>
        <family val="2"/>
      </rPr>
      <t xml:space="preserve"> Variable label for logic variable. </t>
    </r>
  </si>
  <si>
    <t>eg1. "What is the religious affiliation of the household head?"</t>
  </si>
  <si>
    <t>Specify the logic statement for the variable. This must be a valid Stata expression". Any observations that violate this statement will be flagged.</t>
  </si>
  <si>
    <t>Specify if_condition to limit logic check to a subset of observations</t>
  </si>
  <si>
    <t>eg1. "consent == 1"
eg2. "hh_status == 1"</t>
  </si>
  <si>
    <t>eg. "hhh_religion"</t>
  </si>
  <si>
    <t>eg1. "!missing(religion)"
eg2. "income_farm &lt;= hh_incom"</t>
  </si>
  <si>
    <t>modb_b4</t>
  </si>
  <si>
    <t>modc_c2</t>
  </si>
  <si>
    <t>modd_d21b_f</t>
  </si>
  <si>
    <t>modd_d38</t>
  </si>
  <si>
    <t>modh_h2</t>
  </si>
  <si>
    <t>modh_h5</t>
  </si>
  <si>
    <t>modh_h14</t>
  </si>
  <si>
    <t>modh_h15</t>
  </si>
  <si>
    <t>modi_i4b</t>
  </si>
  <si>
    <t>modi_j1c</t>
  </si>
  <si>
    <t>modj_j4</t>
  </si>
  <si>
    <t>modj_j11</t>
  </si>
  <si>
    <t>s_status</t>
  </si>
  <si>
    <t>What's the highest educational level you achieved?</t>
  </si>
  <si>
    <t>What type of employment contract do you have?</t>
  </si>
  <si>
    <t>How often did &lt;b&gt;YOU&lt;/b&gt; use to breast-pump &lt;b&gt;YOUR&lt;/b&gt; milk when you were at the workplace?</t>
  </si>
  <si>
    <t>Will you ever use a breast pump to express your milk?</t>
  </si>
  <si>
    <t>What facilities are there?</t>
  </si>
  <si>
    <t>How did you find out about the existence of the lactation room?</t>
  </si>
  <si>
    <t>Is there a committee responsible in this school for overseeing implementation of policies in the workplace related to breastfeeding?</t>
  </si>
  <si>
    <t>Is there a committee responsible in this school for overseeing implementation of policies in the workplace related to mothers or women in general?</t>
  </si>
  <si>
    <t>Why are they worried?</t>
  </si>
  <si>
    <t>Why do you think there is not a lactation room in your school? Please select the most important reason</t>
  </si>
  <si>
    <t>What facilities would you put for sure in the lactation room?</t>
  </si>
  <si>
    <t>Do you think that this space could become permanently dedicated for this purpose only or would it be only used for this when needed by mothers?</t>
  </si>
  <si>
    <t>ENUMERATOR: What is the final status of this survey?</t>
  </si>
  <si>
    <t>educ_level_oth</t>
  </si>
  <si>
    <t>modc_c2_oth</t>
  </si>
  <si>
    <t>modd_d21b_f_oth</t>
  </si>
  <si>
    <t>modd_d38_oth</t>
  </si>
  <si>
    <t>modh_h2_oth</t>
  </si>
  <si>
    <t>modh_h5_oth</t>
  </si>
  <si>
    <t>modh_h14_oth</t>
  </si>
  <si>
    <t>modh_h15_oth</t>
  </si>
  <si>
    <t>modi_i4b_oth</t>
  </si>
  <si>
    <t>modi_j1c_oth</t>
  </si>
  <si>
    <t>modj_j4_oth</t>
  </si>
  <si>
    <t>modj_j11_oth</t>
  </si>
  <si>
    <t>s_status_oth</t>
  </si>
  <si>
    <t>Specify the highest level of education achieved</t>
  </si>
  <si>
    <t>Specify the contract</t>
  </si>
  <si>
    <t>Specify the frequency</t>
  </si>
  <si>
    <t xml:space="preserve">Specify other ways </t>
  </si>
  <si>
    <t>Please specify the other facilities</t>
  </si>
  <si>
    <t>Please specify the other way in which you found out about the lacation rooms</t>
  </si>
  <si>
    <t>Specify the other committee</t>
  </si>
  <si>
    <t>Specify the other reasons that make them worried</t>
  </si>
  <si>
    <t>Specify the other reasons why you think there is no laction room in your school</t>
  </si>
  <si>
    <t>Specify what other facilities you would put in the lactation room?</t>
  </si>
  <si>
    <t xml:space="preserve">Please specify </t>
  </si>
  <si>
    <t>Specify the other survey status</t>
  </si>
  <si>
    <t>modl_l24b</t>
  </si>
  <si>
    <t>modl_l24b_oth</t>
  </si>
  <si>
    <t>Under what circumstances WOULD you allow teachers to leave early or to arrive late?</t>
  </si>
  <si>
    <t>Please specify the other reasons:</t>
  </si>
  <si>
    <t>modl_l25b</t>
  </si>
  <si>
    <t>modl_l25b_oth</t>
  </si>
  <si>
    <t>Specify the other headteacher association/union that you belong to</t>
  </si>
  <si>
    <t>Which union and/or association of teachers do you belong to?</t>
  </si>
  <si>
    <t>modc_c3c</t>
  </si>
  <si>
    <t>Please specify the additional role</t>
  </si>
  <si>
    <t>modc_c3c_oth</t>
  </si>
  <si>
    <t>Is there any additional role that you have in the school?</t>
  </si>
  <si>
    <t>modc_c12</t>
  </si>
  <si>
    <t>How typically do you get to school?</t>
  </si>
  <si>
    <t>modc_c12_oth</t>
  </si>
  <si>
    <t>Specify the other means you use to get to school</t>
  </si>
  <si>
    <t>modc_c15</t>
  </si>
  <si>
    <t>How would you describe your career aspirations for the next 5 years?</t>
  </si>
  <si>
    <t>modc_c15_oth</t>
  </si>
  <si>
    <t>modc_c16b</t>
  </si>
  <si>
    <t>modc_c16b_oth</t>
  </si>
  <si>
    <t>Specify the career aspiration</t>
  </si>
  <si>
    <t>Specify the other union/association</t>
  </si>
  <si>
    <t>modd_d11a</t>
  </si>
  <si>
    <t>modd_d11a_oth</t>
  </si>
  <si>
    <t>What type of job were you doing?</t>
  </si>
  <si>
    <t>Were YOU working when ${child_name} was born?</t>
  </si>
  <si>
    <t>modd_d15</t>
  </si>
  <si>
    <t>modd_d15_other</t>
  </si>
  <si>
    <t>Please specify the other arragements made based the ones listed above</t>
  </si>
  <si>
    <t>After ${gender2} came back to work, were you/she able to reach some formal or informal agreement in order to allow you/ her to combine work and childrearing.</t>
  </si>
  <si>
    <t>modd_d19a</t>
  </si>
  <si>
    <t>You mentioned that you have at least one kid who is younger than 6. Who takes care of the child when you are at school?</t>
  </si>
  <si>
    <t>modd_d19a_oth</t>
  </si>
  <si>
    <t>Please specify the other person who takes care of the child</t>
  </si>
  <si>
    <t>modd_d20a</t>
  </si>
  <si>
    <t>You mentioned that you have at least one kid who is older than 6. Who used to take care of the child or children when ${gender2} ${was_were_cal} at ${school_work_cal}?</t>
  </si>
  <si>
    <t>modd_d20a_oth</t>
  </si>
  <si>
    <t>modd_d37a</t>
  </si>
  <si>
    <t>Who will take care of your children when you are at school?</t>
  </si>
  <si>
    <t>modd_d37a_oth</t>
  </si>
  <si>
    <t>Specify who will take care of the children</t>
  </si>
  <si>
    <t>modd_d21a_male</t>
  </si>
  <si>
    <t>modd_d11a_male</t>
  </si>
  <si>
    <t>modd_d21b_male_other</t>
  </si>
  <si>
    <t>modd_d11a_male_other</t>
  </si>
  <si>
    <t>Did YOUR WIFE ever use a breast pump to express HER milk?</t>
  </si>
  <si>
    <t>modj_j3b</t>
  </si>
  <si>
    <t>Specify why they would be worried?</t>
  </si>
  <si>
    <t>modj_j3b_oth</t>
  </si>
  <si>
    <t xml:space="preserve"> Why would they be worried?</t>
  </si>
  <si>
    <t>modk_k4a_oth</t>
  </si>
  <si>
    <t>modk_k4a</t>
  </si>
  <si>
    <t>Specify the other incentive</t>
  </si>
  <si>
    <t>Suppose that the colleagues that you selected are elected to form a commitee in charge of creating a dedicated space in your school for breastfeeding mothers. What types of incentives do you think that would motivate them to work hard to create this</t>
  </si>
  <si>
    <t>modb_b10b</t>
  </si>
  <si>
    <t>modc_c8b</t>
  </si>
  <si>
    <t>modd_d5</t>
  </si>
  <si>
    <t>modd_d6b</t>
  </si>
  <si>
    <t>modd_d12</t>
  </si>
  <si>
    <t>modb_b7b</t>
  </si>
  <si>
    <t>&lt;b&gt;B10b.&lt;/b&gt; How many biological children do you have?</t>
  </si>
  <si>
    <t>&lt;b&gt;B7b.&lt;/b&gt; How many individuals live in your household? ( do not include the househelp/nanny)</t>
  </si>
  <si>
    <t>modl_l1</t>
  </si>
  <si>
    <t>&lt;b&gt;L1.&lt;/b&gt;  How many students are there in this school?</t>
  </si>
  <si>
    <t>modc_c3f3</t>
  </si>
  <si>
    <t>Teach _ days a week:</t>
  </si>
  <si>
    <t>&lt;b&gt;C8b.&lt;/b&gt; On average, how many hours do you work from home each week?</t>
  </si>
  <si>
    <t>&lt;b&gt;D5b.&lt;/b&gt; How old was &lt;b&gt;${child_name}&lt;/b&gt;  when   ${gender2}   completely stopped feeding &lt;b&gt;${child_name}&lt;/b&gt;  with  ${your_their}   milk, either by breastfeeding and/or pumping milk?</t>
  </si>
  <si>
    <t>&lt;b&gt;D6b.&lt;/b&gt;  Until when would    &lt;b&gt;${gender2}&lt;/b&gt;    have liked to keep breastfeeding &lt;b&gt;${child_name}&lt;/b&gt; ?
 “&lt;b&gt;${she_i}&lt;/b&gt; would have liked to stop when CHILD was ____ months”</t>
  </si>
  <si>
    <t>modd_d7</t>
  </si>
  <si>
    <t>&lt;b&gt;D7.&lt;/b&gt;   Until when      ${do_does_cal}            &lt;b&gt;${gender2}&lt;/b&gt;     want to keep breastfeeding &lt;b&gt;${child_name}&lt;/b&gt;?
“Until &lt;b&gt;${child_name}&lt;/b&gt; is ____ months old”</t>
  </si>
  <si>
    <t>&lt;b&gt;D8b.&lt;/b&gt; How old was &lt;b&gt;${child_name}&lt;/b&gt; when       &lt;b&gt;${gender2}&lt;/b&gt;     started introducing formula or other types of food? In other words, how old was &lt;b&gt;${child_name}&lt;/b&gt; when       &lt;b&gt;${gender2}&lt;/b&gt;     stopped exclusive breastfeeding?” “&lt;b&gt;${child_name}&lt;/b&gt; was ____ months old”</t>
  </si>
  <si>
    <t>modd_d8b</t>
  </si>
  <si>
    <t>modd_d10</t>
  </si>
  <si>
    <t>&lt;b&gt;D10.&lt;/b&gt;  Until when        &lt;b&gt;${do_does_cal}&lt;/b&gt;               &lt;b&gt; ${gender2}&lt;/b&gt;     want to keep exclusively breastfeeding &lt;b&gt;${child_name}&lt;/b&gt;? “Until &lt;b&gt;${child_name}&lt;/b&gt; is ____ months old”</t>
  </si>
  <si>
    <t>&lt;b&gt;D12.&lt;/b&gt;  How many months of paid maternity leave did  &lt;b&gt;${gender2}&lt;/b&gt;  take at the time?</t>
  </si>
  <si>
    <t>modd_d20c</t>
  </si>
  <si>
    <t>&lt;b&gt;D20c.&lt;/b&gt; How much did  ${gender2}  pay monthly for this childcare service?</t>
  </si>
  <si>
    <t>modd_d23_f</t>
  </si>
  <si>
    <t>&lt;b&gt;D23.&lt;/b&gt; Think about the first three months after &lt;b&gt;YOU&lt;/b&gt; came back to work after having a child, for &lt;b&gt;ALL YOUR CHILDREN&lt;/b&gt;.  On average for all your children, how many days of work did &lt;b&gt;YOU&lt;/b&gt;  miss because you had to take care of your child?</t>
  </si>
  <si>
    <t>modd_d23b_f</t>
  </si>
  <si>
    <t>&lt;b&gt;D23b.&lt;/b&gt; Think about the first three months after YOU came back to work after having a child, for ALL YOUR CHILDREN. On average for all your children, how many days of work did YOU miss because you had to breastfeed your child?</t>
  </si>
  <si>
    <t>modd_d1b_male_old</t>
  </si>
  <si>
    <t>&lt;b&gt;D1b.&lt;/b&gt;  How old is &lt;b&gt;${modd_d0_male}&lt;/b&gt;?</t>
  </si>
  <si>
    <t>modd_m11b_male</t>
  </si>
  <si>
    <t>&lt;b&gt;M11b.&lt;/b&gt; Out of these, how many days were missed because of childcare?</t>
  </si>
  <si>
    <t>modf_f2</t>
  </si>
  <si>
    <t>&lt;b&gt;F2.&lt;/b&gt; Think about 10 of your female colleagues with breastfeeding experience. How many of them were ever forced to stop breastfeeding their child because of the need to go to work?</t>
  </si>
  <si>
    <t>modf_f3</t>
  </si>
  <si>
    <t>&lt;b&gt;F3.&lt;/b&gt; Think about 10 of your female colleagues with children. How many of them were ever forced to stop working because of their child?</t>
  </si>
  <si>
    <t>modf_f5a</t>
  </si>
  <si>
    <t>&lt;b&gt;F5a.&lt;/b&gt; Think about 10 of your female colleagues with breastfeeding experience. 
 How many of them ever talked with you about balancing breastfeeding and work?</t>
  </si>
  <si>
    <t>modh_h12</t>
  </si>
  <si>
    <t>&lt;b&gt;H12.&lt;/b&gt; What is the agreement in terms of the interval of the breaks?</t>
  </si>
  <si>
    <t>modh_h13</t>
  </si>
  <si>
    <t>&lt;b&gt;H13.&lt;/b&gt; What is the agreement in terms of the length of each break?</t>
  </si>
  <si>
    <t>modb_b6</t>
  </si>
  <si>
    <t>&lt;b&gt;B6.&lt;/b&gt; When did   ${mared_living}</t>
  </si>
  <si>
    <t>modc_c9b</t>
  </si>
  <si>
    <t>&lt;b&gt;C9b.&lt;/b&gt; How many people do you supervise?</t>
  </si>
  <si>
    <t>modc_c20</t>
  </si>
  <si>
    <t>&lt;b&gt;C20.&lt;/b&gt; Overall, how satisfied are you with your work nowadays? 
 1=Not satisfied at all, 10 =Very satisfied</t>
  </si>
  <si>
    <t>modc_c21</t>
  </si>
  <si>
    <t>&lt;b&gt;C21.&lt;/b&gt; Overall, would you recommend to family and friends this school as a great place to work? 
1=Not at all, 10=Absolutely</t>
  </si>
  <si>
    <t>modc_c22</t>
  </si>
  <si>
    <t>&lt;b&gt;C22.&lt;/b&gt; Overall, how satisfied are you with the relationship with your colleagues? 
 1=Not satisfied at all, 10=Very satisfied</t>
  </si>
  <si>
    <t>modc_c23</t>
  </si>
  <si>
    <t>&lt;b&gt;C23.&lt;/b&gt; Overall, how satisfied are you with the facilities available to you in this school? 
1 = Not satisfied at all, 10 = Very satisfied</t>
  </si>
  <si>
    <t>${enum} ${school} ${subcounty} ${enum_id} ${id} ${date}</t>
  </si>
  <si>
    <t>duration</t>
  </si>
  <si>
    <t>consent_duration</t>
  </si>
  <si>
    <t>modb_duration</t>
  </si>
  <si>
    <t>modc_duration</t>
  </si>
  <si>
    <t>modd_duration</t>
  </si>
  <si>
    <t>modf_duration</t>
  </si>
  <si>
    <t>modg_duration</t>
  </si>
  <si>
    <t>modi_duration</t>
  </si>
  <si>
    <t>modj_duration</t>
  </si>
  <si>
    <t>modk_duration</t>
  </si>
  <si>
    <t>modm_duration</t>
  </si>
  <si>
    <t>modl_duration</t>
  </si>
  <si>
    <t>teacher_id2_reenter</t>
  </si>
  <si>
    <t>Re-enter the the id of the teacher</t>
  </si>
  <si>
    <t>teacher_id2_reenter==teacher_id2</t>
  </si>
  <si>
    <t>modb_b2_reenter</t>
  </si>
  <si>
    <t>&lt;b&gt;B2b.&lt;/b&gt; Re-enter phone number</t>
  </si>
  <si>
    <t>modb_b2_reenter==modb_b2</t>
  </si>
  <si>
    <t>airtime_no_reenter</t>
  </si>
  <si>
    <t>Re-enter the number we should use to send you airtime</t>
  </si>
  <si>
    <t>airtime_no_reenter==airtime_no</t>
  </si>
  <si>
    <t>&lt;b&gt;B3.&lt;/b&gt; What's your date of birth?</t>
  </si>
  <si>
    <t>modb_b8b</t>
  </si>
  <si>
    <t>modc_c5</t>
  </si>
  <si>
    <t>&lt;b&gt;C5.&lt;/b&gt; At what time do you typically arrive at school?</t>
  </si>
  <si>
    <t>modc_c5&gt;modc_c4</t>
  </si>
  <si>
    <t>modc_c6</t>
  </si>
  <si>
    <t>&lt;b&gt;C6.&lt;/b&gt; At what time do you typically leave school?</t>
  </si>
  <si>
    <t>modc_c6&gt;modc_c5</t>
  </si>
  <si>
    <t>modc_c7</t>
  </si>
  <si>
    <t>&lt;b&gt;C7.&lt;/b&gt; At what time do you typically arrive home?</t>
  </si>
  <si>
    <t>modc_c7&gt;modc_c6</t>
  </si>
  <si>
    <t>&lt;b&gt;D1.&lt;/b&gt; When was &lt;b&gt;${child_name}&lt;/b&gt; born?</t>
  </si>
  <si>
    <t>modd_m11b</t>
  </si>
  <si>
    <t>&lt;b&gt;M11b.&lt;/b&gt; Out of these &lt;b&gt;${modd_m11}&lt;/b&gt; days, how many days were missed because of childcare and/or breastfeeding?</t>
  </si>
  <si>
    <t>modd_m11b&lt;= modd_m11</t>
  </si>
  <si>
    <t>modh_h9</t>
  </si>
  <si>
    <t>&lt;b&gt;H9.&lt;/b&gt; When they start to work, are teachers oriented on which space they can use for breastfeeding or expressing milk and on the rules about breastfeeding and expressing milk during working hours?</t>
  </si>
  <si>
    <t>On the last screen you made an illogical combination of answers. You cannot select "YES", and you selected "I saw it by chance" in Question 5 when asked how you found out about lactation room
&lt;b&gt;Please go back and rectify!!&lt;/b&gt;</t>
  </si>
  <si>
    <t>modd_m11b_male&lt;=modd_m11_male</t>
  </si>
  <si>
    <t>modd_d8b!=.&amp;modd_d5!=.</t>
  </si>
  <si>
    <t>modd_d7!=.&amp;modd_d1_cal_month!=.</t>
  </si>
  <si>
    <t>modd_d6b!=.&amp;modd_d5!=.</t>
  </si>
  <si>
    <t>modd_d5!=.&amp;modd_d1_cal_month!=.</t>
  </si>
  <si>
    <t>modc_c7!=.&amp;modc_c6!=.</t>
  </si>
  <si>
    <t>modb_b8b!=.&amp;modb_b8a!=.</t>
  </si>
  <si>
    <t>airtime_no_reenter!=0&amp;airtime_no!=.</t>
  </si>
  <si>
    <t>modb_b2_reenter!=0&amp; modb_b2!=.</t>
  </si>
  <si>
    <t>teacher_id2_reenter!=.&amp;teacher_id2!=.</t>
  </si>
  <si>
    <t>modc_c5!=.&amp;modc_c4!=.</t>
  </si>
  <si>
    <t>modc_c6!=.&amp;modc_c5!=.</t>
  </si>
  <si>
    <t>modd_m11b!=0&amp;modd_m11</t>
  </si>
  <si>
    <t>modd_m11b_male!=0&amp;modd_m11_male</t>
  </si>
  <si>
    <t>modd_d7&gt;=modd_d1_cal_month</t>
  </si>
  <si>
    <t>modd_d6b&gt;=modd_d5</t>
  </si>
  <si>
    <t>modd_d5&lt;=modd_d1_cal_month</t>
  </si>
  <si>
    <t xml:space="preserve">modh_duration </t>
  </si>
  <si>
    <t>modd_d15_male</t>
  </si>
  <si>
    <t>modd_d34</t>
  </si>
  <si>
    <t>modd_d34_male</t>
  </si>
  <si>
    <t>modd_d34d</t>
  </si>
  <si>
    <t>modd_d34d_male</t>
  </si>
  <si>
    <t>modd_d1</t>
  </si>
  <si>
    <t>modb_b3</t>
  </si>
  <si>
    <t>modb_b3!=.</t>
  </si>
  <si>
    <t>modb_b3&gt;=-10227 &amp;modb_b3 &lt;=16436</t>
  </si>
  <si>
    <t>Please explain other arrangements</t>
  </si>
  <si>
    <t>After you came back to work, were you able to reach some formal or informal arrangements at your school in order to allow you to combine work and childrearing?</t>
  </si>
  <si>
    <t>After you come back to work, do you think you will be able to reach some formal or informal arrangements at your school in order to allow you to combine work and childrearing?</t>
  </si>
  <si>
    <t>After you come back to work, do you think you will try to reach some formal or informal arrangements at your school in order to allow you to combine work and childrearing?</t>
  </si>
  <si>
    <t>modd_d15e_male</t>
  </si>
  <si>
    <t>Explain the other arragements made</t>
  </si>
  <si>
    <t>modd_d1b_male_old==age_child_male</t>
  </si>
  <si>
    <t>modd_d1b_male_old!=.&amp;modd_d1_male!=.</t>
  </si>
  <si>
    <t>&lt;b&gt;B8b.&lt;/b&gt; What is your gross monthly income on average?</t>
  </si>
  <si>
    <t>modm_duration&gt;70</t>
  </si>
  <si>
    <t>survey_type==2&amp;modb_b9==0</t>
  </si>
  <si>
    <t>modd_d8b&lt;=modd_d5</t>
  </si>
  <si>
    <t>length_modf_f20</t>
  </si>
  <si>
    <t>length_reason_refusal</t>
  </si>
  <si>
    <t>length_modl_l18</t>
  </si>
  <si>
    <t>length_modl_l23a</t>
  </si>
  <si>
    <t>length_modl_l23b</t>
  </si>
  <si>
    <t>length_modm_m1</t>
  </si>
  <si>
    <t>length_modc_c24</t>
  </si>
  <si>
    <t>length_modm_m3a</t>
  </si>
  <si>
    <t>length_modm_m3b</t>
  </si>
  <si>
    <t>length_modd_d6b_explain</t>
  </si>
  <si>
    <t>length_modi_i1a1</t>
  </si>
  <si>
    <t>length_modi_i1a2</t>
  </si>
  <si>
    <t>&lt;b&gt;L18.&lt;/b&gt; What did they check?</t>
  </si>
  <si>
    <t>&lt;b&gt;L23a.&lt;b/&gt; Suppose you receive a donation of 50,000KSH for improvements in the school. How would you use the money?</t>
  </si>
  <si>
    <t>&lt;b&gt;L23b.&lt;/b&gt; What are the steps you should take to implement this project?</t>
  </si>
  <si>
    <t>&lt;b&gt;M1.&lt;/b&gt; What do you think are the most important problems at your school that you would like to be solved?</t>
  </si>
  <si>
    <t>&lt;b&gt;C24.&lt;/b&gt; Suppose you receive a donation of 50,000KSH for improvements in the school. How would you use the money?</t>
  </si>
  <si>
    <t>&lt;b&gt;M3a.&lt;/b&gt; What do you think are the biggest challenges that female teachers face when coming back from maternity leave?</t>
  </si>
  <si>
    <t>&lt;b&gt;M3b.&lt;/b&gt; What do other teachers in this school do to help them?</t>
  </si>
  <si>
    <t>&lt;b&gt;F20.&lt;/b&gt; Are you aware of cultural beliefs related to breastpumping? If so, which ones?</t>
  </si>
  <si>
    <t>&lt;b&gt;I1a1.&lt;/b&gt; Why do you think it's a good idea?</t>
  </si>
  <si>
    <t>&lt;b&gt;I1a2.&lt;/b&gt; Why do you think it's not a good idea?</t>
  </si>
  <si>
    <t>&lt;b&gt;I1b1.&lt;/b&gt; Why do you think it's a good idea?</t>
  </si>
  <si>
    <t>&lt;b&gt;I1b2.&lt;/b&gt; Why do you think it's not a good idea?</t>
  </si>
  <si>
    <t>length_modi_j1b1</t>
  </si>
  <si>
    <t>length_modi_j1b2</t>
  </si>
  <si>
    <t>length_modk_k2a_reson</t>
  </si>
  <si>
    <t>length_modk_k1a_reson</t>
  </si>
  <si>
    <t>length_modk_k1b_reson</t>
  </si>
  <si>
    <t>length_modk_k2b_reson</t>
  </si>
  <si>
    <t>length_modm_m6a_a</t>
  </si>
  <si>
    <t>length_modm_m6c_a</t>
  </si>
  <si>
    <t xml:space="preserve">length_modm_m6a_b </t>
  </si>
  <si>
    <t>length_modm_m6b_b</t>
  </si>
  <si>
    <t>length_modm_m6c_b</t>
  </si>
  <si>
    <t>K2a.Please state the reason for selecting ${modk_k1_name}</t>
  </si>
  <si>
    <t>K2c. Please state the reason for selecting ${modk_k2_name}</t>
  </si>
  <si>
    <t>Please state the reason for selecting ${modk_k1b}</t>
  </si>
  <si>
    <t>Please state the reason for selecting ${modk_k2b}</t>
  </si>
  <si>
    <t>&lt;b&gt;a.&lt;/b&gt; What did you do?</t>
  </si>
  <si>
    <t>&lt;b&gt;c.&lt;/b&gt; How did you feel?</t>
  </si>
  <si>
    <t>&lt;b&gt;a.&lt;/b&gt; What would you have done?</t>
  </si>
  <si>
    <t>&lt;b&gt;b.&lt;/b&gt; Could you satisfy this need?</t>
  </si>
  <si>
    <t>&lt;b&gt;c.&lt;/b&gt; How would you have felt?</t>
  </si>
  <si>
    <t>length_modd_d8b_explain</t>
  </si>
  <si>
    <t>You mentiond that &lt;b&gt;${gender2}&lt;/b&gt; completely stopped breastfeeding/feeding the baby with breast milk when they were &lt;b&gt;${modd_d5} months&lt;/b&gt; in question D5, but &lt;b&gt;${gender2}&lt;/b&gt; would have liked to stop when they were &lt;b&gt;${modd_d6b}&lt;/b&gt; which is  a time before when you stopped breastfeeeding. Please confirm that this is correct</t>
  </si>
  <si>
    <t>You mentiond that &lt;b&gt;${gender2}&lt;/b&gt; completely stopped breastfeeding/feeding the baby with breast milk when they were &lt;b&gt;${modd_d5} months&lt;/b&gt; in question D5, but &lt;b&gt;${gender2}&lt;/b&gt; introduced formula when they were &lt;b&gt;${modd_d8b}&lt;/b&gt; months which is later after you stopped breastfeeeding. Please confirm that this is correct</t>
  </si>
  <si>
    <t>You mentiond that &lt;b&gt;${gender2}&lt;/b&gt; completely stopped exclusively breastfeeding/introducing formula when they were &lt;b&gt;${modd_d8b} months&lt;/b&gt; in question D8b, but &lt;b&gt;${gender2}&lt;/b&gt; would have liked to stop when they were &lt;b&gt;${modd_d9b}&lt;/b&gt; months which is  a time before when you stopped exclusive breastfeeeding. Please confirm that this is correct</t>
  </si>
  <si>
    <t xml:space="preserve">length_modd_d9b_explain </t>
  </si>
  <si>
    <t>survey_type</t>
  </si>
  <si>
    <t>&lt;b&gt;ENUMERATOR&lt;/b&gt;: Which survey are you conducting: teacher survey or headteacher survey?</t>
  </si>
  <si>
    <t>survey_type==2</t>
  </si>
  <si>
    <t>position==4</t>
  </si>
  <si>
    <t>survey_type==1</t>
  </si>
  <si>
    <t>position==1|position==2</t>
  </si>
  <si>
    <t>${keepvars}  teacher_id2</t>
  </si>
  <si>
    <t>modb_b8b&lt;=2*modb_b8a</t>
  </si>
  <si>
    <t>modh_h5==2&amp;modh_h9!=.&amp; modh_h5!=.</t>
  </si>
  <si>
    <t>modh_h9!=1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</si>
</sst>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name val="Calibri"/>
    </font>
    <font>
      <sz val="11"/>
      <name val="Calibri"/>
      <family val="2"/>
    </font>
    <font>
      <b/>
      <sz val="11"/>
      <name val="Calibri"/>
      <family val="2"/>
    </font>
    <font>
      <b/>
      <i/>
      <sz val="11"/>
      <name val="Calibri"/>
      <family val="2"/>
      <scheme val="minor"/>
    </font>
    <font>
      <sz val="16"/>
      <name val="Calibri"/>
      <family val="2"/>
    </font>
    <font>
      <i/>
      <sz val="16"/>
      <name val="Calibri"/>
      <family val="2"/>
    </font>
    <font>
      <b/>
      <sz val="16"/>
      <name val="Calibri"/>
      <family val="2"/>
    </font>
    <font>
      <b/>
      <sz val="14"/>
      <name val="Calibri"/>
      <family val="2"/>
    </font>
    <font>
      <sz val="14"/>
      <name val="Calibri"/>
      <family val="2"/>
    </font>
    <font>
      <sz val="14"/>
      <color rgb="FF000000"/>
      <name val="Roboto"/>
    </font>
    <font>
      <sz val="14"/>
      <name val="Roboto"/>
    </font>
  </fonts>
  <fills count="4">
    <fill>
      <patternFill patternType="none"/>
    </fill>
    <fill>
      <patternFill patternType="gray125"/>
    </fill>
    <fill>
      <patternFill patternType="solid">
        <fgColor theme="4" tint="0.39997558519241921"/>
        <bgColor indexed="64"/>
      </patternFill>
    </fill>
    <fill>
      <patternFill patternType="solid">
        <fgColor theme="2" tint="-9.9978637043366805E-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s>
  <cellStyleXfs count="1">
    <xf numFmtId="0" fontId="0" fillId="0" borderId="0"/>
  </cellStyleXfs>
  <cellXfs count="59">
    <xf numFmtId="0" fontId="0" fillId="0" borderId="0" xfId="0"/>
    <xf numFmtId="0" fontId="1" fillId="0" borderId="0" xfId="0" applyFont="1"/>
    <xf numFmtId="0" fontId="1" fillId="0" borderId="1" xfId="0" applyFont="1" applyBorder="1"/>
    <xf numFmtId="0" fontId="0" fillId="0" borderId="1" xfId="0" applyBorder="1"/>
    <xf numFmtId="0" fontId="0" fillId="0" borderId="12" xfId="0" applyBorder="1"/>
    <xf numFmtId="0" fontId="0" fillId="0" borderId="17" xfId="0" applyBorder="1"/>
    <xf numFmtId="0" fontId="1" fillId="0" borderId="17" xfId="0" applyFont="1" applyBorder="1"/>
    <xf numFmtId="0" fontId="1" fillId="0" borderId="12" xfId="0" applyFont="1" applyBorder="1"/>
    <xf numFmtId="0" fontId="3" fillId="3" borderId="19" xfId="0" applyFont="1" applyFill="1" applyBorder="1"/>
    <xf numFmtId="0" fontId="3" fillId="3" borderId="20" xfId="0" applyFont="1" applyFill="1" applyBorder="1"/>
    <xf numFmtId="0" fontId="0" fillId="0" borderId="0" xfId="0" applyAlignment="1">
      <alignment wrapText="1"/>
    </xf>
    <xf numFmtId="0" fontId="3" fillId="3" borderId="20" xfId="0" applyFont="1" applyFill="1" applyBorder="1" applyAlignment="1">
      <alignment wrapText="1"/>
    </xf>
    <xf numFmtId="0" fontId="1" fillId="0" borderId="12" xfId="0" applyFont="1" applyBorder="1" applyAlignment="1">
      <alignment wrapText="1"/>
    </xf>
    <xf numFmtId="0" fontId="1" fillId="0" borderId="13" xfId="0" applyFont="1" applyBorder="1" applyAlignment="1">
      <alignment wrapText="1"/>
    </xf>
    <xf numFmtId="0" fontId="1" fillId="0" borderId="1" xfId="0" applyFont="1" applyBorder="1" applyAlignment="1">
      <alignment wrapText="1"/>
    </xf>
    <xf numFmtId="0" fontId="3" fillId="3" borderId="21" xfId="0" applyFont="1" applyFill="1" applyBorder="1" applyAlignment="1">
      <alignment wrapText="1"/>
    </xf>
    <xf numFmtId="0" fontId="0" fillId="0" borderId="15" xfId="0" applyBorder="1" applyAlignment="1">
      <alignment wrapText="1"/>
    </xf>
    <xf numFmtId="0" fontId="1" fillId="0" borderId="15" xfId="0" applyFont="1" applyBorder="1" applyAlignment="1">
      <alignment wrapText="1"/>
    </xf>
    <xf numFmtId="0" fontId="1" fillId="0" borderId="17" xfId="0" applyFont="1" applyBorder="1" applyAlignment="1">
      <alignment wrapText="1"/>
    </xf>
    <xf numFmtId="0" fontId="1" fillId="0" borderId="18" xfId="0" applyFont="1" applyBorder="1" applyAlignment="1">
      <alignment wrapText="1"/>
    </xf>
    <xf numFmtId="0" fontId="0" fillId="0" borderId="3" xfId="0" applyBorder="1"/>
    <xf numFmtId="0" fontId="0" fillId="0" borderId="6" xfId="0" applyBorder="1"/>
    <xf numFmtId="0" fontId="0" fillId="0" borderId="8" xfId="0" applyBorder="1"/>
    <xf numFmtId="0" fontId="0" fillId="0" borderId="0" xfId="0" applyAlignment="1">
      <alignment horizontal="center" vertical="center"/>
    </xf>
    <xf numFmtId="0" fontId="1" fillId="0" borderId="0" xfId="0" applyFont="1" applyAlignment="1">
      <alignment wrapText="1"/>
    </xf>
    <xf numFmtId="0" fontId="7" fillId="2" borderId="2" xfId="0" applyFont="1" applyFill="1" applyBorder="1" applyAlignment="1">
      <alignment vertical="center" wrapText="1"/>
    </xf>
    <xf numFmtId="0" fontId="7" fillId="0" borderId="22" xfId="0" applyFont="1" applyBorder="1" applyAlignment="1">
      <alignment vertical="center" wrapText="1"/>
    </xf>
    <xf numFmtId="0" fontId="7" fillId="2" borderId="0" xfId="0" applyFont="1" applyFill="1"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8" fillId="0" borderId="1" xfId="0" applyFont="1" applyBorder="1" applyAlignment="1">
      <alignment vertical="center" wrapText="1"/>
    </xf>
    <xf numFmtId="0" fontId="8" fillId="0" borderId="0" xfId="0" applyFont="1"/>
    <xf numFmtId="0" fontId="7" fillId="2" borderId="2" xfId="0" applyFont="1" applyFill="1" applyBorder="1"/>
    <xf numFmtId="0" fontId="8" fillId="0" borderId="1" xfId="0" applyFont="1" applyBorder="1"/>
    <xf numFmtId="0" fontId="8" fillId="0" borderId="0" xfId="0" applyFont="1" applyAlignment="1">
      <alignment horizontal="right"/>
    </xf>
    <xf numFmtId="0" fontId="9" fillId="0" borderId="1" xfId="0" applyFont="1" applyBorder="1" applyAlignment="1">
      <alignment vertical="center" wrapText="1"/>
    </xf>
    <xf numFmtId="0" fontId="2" fillId="2" borderId="1" xfId="0" applyFont="1" applyFill="1" applyBorder="1" applyAlignment="1">
      <alignment wrapText="1"/>
    </xf>
    <xf numFmtId="0" fontId="2" fillId="0" borderId="0" xfId="0" applyFont="1" applyAlignment="1">
      <alignment wrapText="1"/>
    </xf>
    <xf numFmtId="0" fontId="2" fillId="2" borderId="2" xfId="0" applyFont="1" applyFill="1" applyBorder="1" applyAlignment="1">
      <alignment wrapText="1"/>
    </xf>
    <xf numFmtId="0" fontId="1" fillId="0" borderId="0" xfId="0" applyFont="1" applyAlignment="1">
      <alignment horizontal="left" vertical="center" wrapText="1"/>
    </xf>
    <xf numFmtId="0" fontId="1" fillId="0" borderId="1" xfId="0" applyFont="1" applyBorder="1" applyAlignment="1">
      <alignment horizontal="left" vertical="center" wrapText="1"/>
    </xf>
    <xf numFmtId="0" fontId="0" fillId="0" borderId="1" xfId="0" applyBorder="1" applyAlignment="1">
      <alignment horizontal="left" vertical="center" wrapText="1"/>
    </xf>
    <xf numFmtId="0" fontId="1" fillId="0" borderId="1" xfId="0" applyFont="1" applyBorder="1" applyAlignment="1">
      <alignment horizontal="left" vertical="center"/>
    </xf>
    <xf numFmtId="0" fontId="0" fillId="0" borderId="0" xfId="0" applyAlignment="1">
      <alignment horizontal="left" vertical="center" wrapText="1"/>
    </xf>
    <xf numFmtId="2" fontId="8" fillId="0" borderId="0" xfId="0" applyNumberFormat="1" applyFont="1"/>
    <xf numFmtId="0" fontId="10" fillId="0" borderId="1" xfId="0" applyFont="1" applyBorder="1" applyAlignment="1">
      <alignment vertical="center" wrapText="1"/>
    </xf>
    <xf numFmtId="0" fontId="0" fillId="0" borderId="2" xfId="0" applyBorder="1"/>
    <xf numFmtId="0" fontId="1" fillId="0" borderId="2" xfId="0" applyFont="1" applyBorder="1"/>
    <xf numFmtId="0" fontId="0" fillId="0" borderId="2" xfId="0" applyBorder="1" applyAlignment="1">
      <alignment wrapText="1"/>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4" fillId="0" borderId="4"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cellXfs>
  <cellStyles count="1">
    <cellStyle name="Normal" xfId="0" builtinId="0"/>
  </cellStyles>
  <dxfs count="1909">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auto="1"/>
        </left>
        <right style="thin">
          <color auto="1"/>
        </right>
        <top style="thin">
          <color auto="1"/>
        </top>
        <bottom style="thin">
          <color auto="1"/>
        </bottom>
        <vertical/>
        <horizontal/>
      </border>
    </dxf>
    <dxf>
      <fill>
        <patternFill patternType="solid">
          <fgColor indexed="64"/>
          <bgColor theme="0" tint="-4.9989318521683403E-2"/>
        </patternFill>
      </fill>
    </dxf>
    <dxf>
      <font>
        <color rgb="FF006100"/>
      </font>
      <fill>
        <patternFill>
          <bgColor rgb="FFC6EFCE"/>
        </patternFill>
      </fill>
    </dxf>
    <dxf>
      <fill>
        <patternFill>
          <bgColor rgb="FFBBBB59"/>
        </patternFill>
      </fill>
    </dxf>
    <dxf>
      <fill>
        <patternFill>
          <bgColor rgb="FFEEB400"/>
        </patternFill>
      </fill>
    </dxf>
    <dxf>
      <fill>
        <patternFill>
          <bgColor rgb="FFEEB400"/>
        </patternFill>
      </fill>
    </dxf>
    <dxf>
      <fill>
        <patternFill>
          <bgColor rgb="FFFF9900"/>
        </patternFill>
      </fill>
    </dxf>
    <dxf>
      <fill>
        <patternFill>
          <bgColor rgb="FFFF9900"/>
        </patternFill>
      </fill>
    </dxf>
    <dxf>
      <fill>
        <patternFill>
          <bgColor theme="9" tint="0.39994506668294322"/>
        </patternFill>
      </fill>
    </dxf>
    <dxf>
      <fill>
        <patternFill>
          <bgColor theme="9" tint="0.59996337778862885"/>
        </patternFill>
      </fill>
    </dxf>
    <dxf>
      <fill>
        <patternFill patternType="solid">
          <fgColor indexed="64"/>
          <bgColor theme="4" tint="0.59999389629810485"/>
        </patternFill>
      </fill>
    </dxf>
    <dxf>
      <fill>
        <patternFill patternType="solid">
          <fgColor indexed="64"/>
          <bgColor theme="4" tint="0.79998168889431442"/>
        </patternFill>
      </fill>
    </dxf>
    <dxf>
      <fill>
        <patternFill>
          <bgColor rgb="FF4685D2"/>
        </patternFill>
      </fill>
    </dxf>
    <dxf>
      <fill>
        <patternFill>
          <bgColor rgb="FF99BCE7"/>
        </patternFill>
      </fill>
    </dxf>
    <dxf>
      <fill>
        <patternFill>
          <bgColor theme="8" tint="0.39994506668294322"/>
        </patternFill>
      </fill>
    </dxf>
    <dxf>
      <fill>
        <patternFill patternType="solid">
          <fgColor indexed="64"/>
          <bgColor theme="6" tint="0.59999389629810485"/>
        </patternFill>
      </fill>
    </dxf>
    <dxf>
      <fill>
        <patternFill>
          <bgColor rgb="FFFF0000"/>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E4E300"/>
        </patternFill>
      </fill>
    </dxf>
    <dxf>
      <fill>
        <patternFill>
          <bgColor theme="7" tint="0.39994506668294322"/>
        </patternFill>
      </fill>
    </dxf>
    <dxf>
      <fill>
        <patternFill>
          <bgColor rgb="FFE1AAA9"/>
        </patternFill>
      </fill>
    </dxf>
    <dxf>
      <fill>
        <patternFill patternType="solid">
          <fgColor indexed="64"/>
          <bgColor rgb="FF9E004F"/>
        </patternFill>
      </fill>
    </dxf>
    <dxf>
      <font>
        <color auto="1"/>
      </font>
      <fill>
        <patternFill patternType="solid">
          <fgColor indexed="64"/>
          <bgColor theme="0" tint="-0.249977111117893"/>
        </patternFill>
      </fill>
    </dxf>
    <dxf>
      <font>
        <color auto="1"/>
      </font>
      <fill>
        <patternFill>
          <bgColor rgb="FFFF6D9E"/>
        </patternFill>
      </fill>
    </dxf>
    <dxf>
      <fill>
        <patternFill>
          <bgColor theme="8"/>
        </patternFill>
      </fill>
    </dxf>
    <dxf>
      <border>
        <left style="thin">
          <color auto="1"/>
        </left>
        <right style="thin">
          <color auto="1"/>
        </right>
        <top style="thin">
          <color auto="1"/>
        </top>
        <bottom style="thin">
          <color auto="1"/>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auto="1"/>
        </left>
        <right style="thin">
          <color auto="1"/>
        </right>
        <top style="thin">
          <color auto="1"/>
        </top>
        <bottom style="thin">
          <color auto="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9C0006"/>
      </font>
      <fill>
        <patternFill>
          <bgColor rgb="FFFFC7CE"/>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border>
        <left style="thin">
          <color auto="1"/>
        </left>
        <right style="thin">
          <color auto="1"/>
        </right>
        <top style="thin">
          <color auto="1"/>
        </top>
        <bottom style="thin">
          <color auto="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font>
        <color rgb="FF006100"/>
      </font>
      <fill>
        <patternFill>
          <bgColor rgb="FFC6EFCE"/>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patternType="solid">
          <fgColor indexed="64"/>
          <bgColor theme="4" tint="0.79998168889431442"/>
        </patternFill>
      </fill>
    </dxf>
    <dxf>
      <fill>
        <patternFill>
          <bgColor rgb="FF99BCE7"/>
        </patternFill>
      </fill>
    </dxf>
    <dxf>
      <fill>
        <patternFill>
          <bgColor theme="9" tint="0.59996337778862885"/>
        </patternFill>
      </fill>
    </dxf>
    <dxf>
      <fill>
        <patternFill>
          <bgColor theme="8" tint="0.39994506668294322"/>
        </patternFill>
      </fill>
    </dxf>
    <dxf>
      <fill>
        <patternFill>
          <bgColor rgb="FFE3E0CF"/>
        </patternFill>
      </fill>
    </dxf>
    <dxf>
      <fill>
        <patternFill>
          <bgColor rgb="FFDDE8C6"/>
        </patternFill>
      </fill>
    </dxf>
    <dxf>
      <fill>
        <patternFill patternType="solid">
          <fgColor indexed="64"/>
          <bgColor rgb="FFE7D480"/>
        </patternFill>
      </fill>
    </dxf>
    <dxf>
      <fill>
        <patternFill patternType="solid">
          <fgColor indexed="64"/>
          <bgColor rgb="FFBA005D"/>
        </patternFill>
      </fill>
    </dxf>
    <dxf>
      <fill>
        <patternFill>
          <bgColor rgb="FFEAEB74"/>
        </patternFill>
      </fill>
    </dxf>
    <dxf>
      <fill>
        <patternFill>
          <bgColor rgb="FFFFBB57"/>
        </patternFill>
      </fill>
    </dxf>
    <dxf>
      <fill>
        <patternFill patternType="solid">
          <fgColor indexed="64"/>
          <bgColor theme="6" tint="0.79998168889431442"/>
        </patternFill>
      </fill>
    </dxf>
    <dxf>
      <fill>
        <patternFill>
          <bgColor theme="7" tint="0.59996337778862885"/>
        </patternFill>
      </fill>
    </dxf>
    <dxf>
      <fill>
        <patternFill>
          <bgColor rgb="FFF2DBDA"/>
        </patternFill>
      </fill>
    </dxf>
    <dxf>
      <fill>
        <patternFill>
          <bgColor rgb="FFFFD44B"/>
        </patternFill>
      </fill>
    </dxf>
    <dxf>
      <fill>
        <patternFill>
          <bgColor rgb="FFEEB400"/>
        </patternFill>
      </fill>
    </dxf>
    <dxf>
      <fill>
        <patternFill>
          <bgColor rgb="FFFF9900"/>
        </patternFill>
      </fill>
    </dxf>
    <dxf>
      <fill>
        <patternFill>
          <bgColor rgb="FFFF9900"/>
        </patternFill>
      </fill>
    </dxf>
    <dxf>
      <fill>
        <patternFill patternType="solid">
          <fgColor indexed="64"/>
          <bgColor theme="0" tint="-4.9989318521683403E-2"/>
        </patternFill>
      </fill>
    </dxf>
    <dxf>
      <fill>
        <patternFill>
          <bgColor rgb="FFEEB400"/>
        </patternFill>
      </fill>
    </dxf>
    <dxf>
      <fill>
        <patternFill>
          <bgColor theme="9" tint="0.39994506668294322"/>
        </patternFill>
      </fill>
    </dxf>
    <dxf>
      <fill>
        <patternFill patternType="solid">
          <fgColor indexed="64"/>
          <bgColor theme="4" tint="0.59999389629810485"/>
        </patternFill>
      </fill>
    </dxf>
    <dxf>
      <fill>
        <patternFill>
          <bgColor rgb="FF4685D2"/>
        </patternFill>
      </fill>
    </dxf>
    <dxf>
      <fill>
        <patternFill patternType="solid">
          <fgColor indexed="64"/>
          <bgColor theme="6" tint="0.59999389629810485"/>
        </patternFill>
      </fill>
    </dxf>
    <dxf>
      <fill>
        <patternFill>
          <bgColor theme="7" tint="0.39994506668294322"/>
        </patternFill>
      </fill>
    </dxf>
    <dxf>
      <fill>
        <patternFill>
          <bgColor rgb="FFE1AAA9"/>
        </patternFill>
      </fill>
    </dxf>
    <dxf>
      <fill>
        <patternFill>
          <bgColor theme="8"/>
        </patternFill>
      </fill>
    </dxf>
    <dxf>
      <fill>
        <patternFill patternType="solid">
          <fgColor indexed="64"/>
          <bgColor rgb="FFE4E300"/>
        </patternFill>
      </fill>
    </dxf>
    <dxf>
      <fill>
        <patternFill>
          <bgColor rgb="FFFF0000"/>
        </patternFill>
      </fill>
    </dxf>
    <dxf>
      <font>
        <color auto="1"/>
      </font>
      <fill>
        <patternFill>
          <bgColor rgb="FFFF6D9E"/>
        </patternFill>
      </fill>
    </dxf>
    <dxf>
      <fill>
        <patternFill>
          <bgColor theme="2" tint="-0.24994659260841701"/>
        </patternFill>
      </fill>
    </dxf>
    <dxf>
      <fill>
        <patternFill>
          <bgColor theme="6" tint="0.39994506668294322"/>
        </patternFill>
      </fill>
    </dxf>
    <dxf>
      <fill>
        <patternFill patternType="solid">
          <fgColor indexed="64"/>
          <bgColor rgb="FFDCC97A"/>
        </patternFill>
      </fill>
    </dxf>
    <dxf>
      <fill>
        <patternFill patternType="solid">
          <fgColor indexed="64"/>
          <bgColor rgb="FF9E004F"/>
        </patternFill>
      </fill>
    </dxf>
    <dxf>
      <fill>
        <patternFill>
          <bgColor rgb="FFBBBB59"/>
        </patternFill>
      </fill>
    </dxf>
    <dxf>
      <font>
        <color auto="1"/>
      </font>
      <fill>
        <patternFill patternType="solid">
          <fgColor indexed="64"/>
          <bgColor theme="0" tint="-0.249977111117893"/>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29359</xdr:colOff>
      <xdr:row>1</xdr:row>
      <xdr:rowOff>3810</xdr:rowOff>
    </xdr:from>
    <xdr:to>
      <xdr:col>1</xdr:col>
      <xdr:colOff>1037590</xdr:colOff>
      <xdr:row>3</xdr:row>
      <xdr:rowOff>181610</xdr:rowOff>
    </xdr:to>
    <xdr:pic>
      <xdr:nvPicPr>
        <xdr:cNvPr id="3" name="Picture 2">
          <a:extLst>
            <a:ext uri="{FF2B5EF4-FFF2-40B4-BE49-F238E27FC236}">
              <a16:creationId xmlns:a16="http://schemas.microsoft.com/office/drawing/2014/main" id="{94DE1417-EC55-04C1-0AEE-99EC573E311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3659" y="129540"/>
          <a:ext cx="1014581" cy="5372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53F13-CBAF-45BE-B937-8870F5429F2C}">
  <dimension ref="B1:F50"/>
  <sheetViews>
    <sheetView showGridLines="0" zoomScale="106" zoomScaleNormal="85" workbookViewId="0">
      <pane xSplit="1" ySplit="6" topLeftCell="B23" activePane="bottomRight" state="frozen"/>
      <selection pane="topRight" activeCell="B1" sqref="B1"/>
      <selection pane="bottomLeft" activeCell="A7" sqref="A7"/>
      <selection pane="bottomRight" activeCell="E21" sqref="E21"/>
    </sheetView>
  </sheetViews>
  <sheetFormatPr baseColWidth="10" defaultColWidth="8.83203125" defaultRowHeight="15" x14ac:dyDescent="0.2"/>
  <cols>
    <col min="1" max="1" width="1.5" customWidth="1"/>
    <col min="2" max="2" width="15.83203125" customWidth="1"/>
    <col min="3" max="3" width="13.6640625" customWidth="1"/>
    <col min="5" max="5" width="51.1640625" style="10" customWidth="1"/>
    <col min="6" max="6" width="42.5" style="10" customWidth="1"/>
  </cols>
  <sheetData>
    <row r="1" spans="2:6" ht="10" customHeight="1" thickBot="1" x14ac:dyDescent="0.25"/>
    <row r="2" spans="2:6" x14ac:dyDescent="0.2">
      <c r="B2" s="20"/>
      <c r="C2" s="52" t="s">
        <v>34</v>
      </c>
      <c r="D2" s="53"/>
      <c r="E2" s="53"/>
      <c r="F2" s="54"/>
    </row>
    <row r="3" spans="2:6" x14ac:dyDescent="0.2">
      <c r="B3" s="21"/>
      <c r="C3" s="55"/>
      <c r="D3" s="55"/>
      <c r="E3" s="55"/>
      <c r="F3" s="56"/>
    </row>
    <row r="4" spans="2:6" ht="16" thickBot="1" x14ac:dyDescent="0.25">
      <c r="B4" s="22"/>
      <c r="C4" s="57"/>
      <c r="D4" s="57"/>
      <c r="E4" s="57"/>
      <c r="F4" s="58"/>
    </row>
    <row r="5" spans="2:6" ht="10" customHeight="1" thickBot="1" x14ac:dyDescent="0.25"/>
    <row r="6" spans="2:6" ht="17" thickBot="1" x14ac:dyDescent="0.25">
      <c r="B6" s="8" t="s">
        <v>29</v>
      </c>
      <c r="C6" s="9" t="s">
        <v>23</v>
      </c>
      <c r="D6" s="9" t="s">
        <v>24</v>
      </c>
      <c r="E6" s="11" t="s">
        <v>25</v>
      </c>
      <c r="F6" s="15" t="s">
        <v>26</v>
      </c>
    </row>
    <row r="7" spans="2:6" ht="10" customHeight="1" thickBot="1" x14ac:dyDescent="0.25"/>
    <row r="8" spans="2:6" ht="64" x14ac:dyDescent="0.2">
      <c r="B8" s="49" t="s">
        <v>28</v>
      </c>
      <c r="C8" s="4" t="s">
        <v>2</v>
      </c>
      <c r="D8" s="4" t="s">
        <v>30</v>
      </c>
      <c r="E8" s="12" t="s">
        <v>35</v>
      </c>
      <c r="F8" s="13" t="s">
        <v>46</v>
      </c>
    </row>
    <row r="9" spans="2:6" ht="16" x14ac:dyDescent="0.2">
      <c r="B9" s="50"/>
      <c r="C9" s="3" t="s">
        <v>17</v>
      </c>
      <c r="D9" s="3" t="s">
        <v>27</v>
      </c>
      <c r="E9" s="14" t="s">
        <v>36</v>
      </c>
      <c r="F9" s="17" t="s">
        <v>47</v>
      </c>
    </row>
    <row r="10" spans="2:6" ht="64" x14ac:dyDescent="0.2">
      <c r="B10" s="50"/>
      <c r="C10" s="3" t="s">
        <v>1</v>
      </c>
      <c r="D10" s="3" t="s">
        <v>30</v>
      </c>
      <c r="E10" s="14" t="s">
        <v>37</v>
      </c>
      <c r="F10" s="17" t="s">
        <v>48</v>
      </c>
    </row>
    <row r="11" spans="2:6" ht="16" x14ac:dyDescent="0.2">
      <c r="B11" s="50"/>
      <c r="C11" s="3" t="s">
        <v>18</v>
      </c>
      <c r="D11" s="3" t="s">
        <v>27</v>
      </c>
      <c r="E11" s="14" t="s">
        <v>38</v>
      </c>
      <c r="F11" s="17" t="s">
        <v>49</v>
      </c>
    </row>
    <row r="12" spans="2:6" ht="16" x14ac:dyDescent="0.2">
      <c r="B12" s="50"/>
      <c r="C12" s="3" t="s">
        <v>0</v>
      </c>
      <c r="D12" s="3" t="s">
        <v>27</v>
      </c>
      <c r="E12" s="14" t="s">
        <v>39</v>
      </c>
      <c r="F12" s="17" t="s">
        <v>50</v>
      </c>
    </row>
    <row r="13" spans="2:6" ht="65" thickBot="1" x14ac:dyDescent="0.25">
      <c r="B13" s="51"/>
      <c r="C13" s="5" t="s">
        <v>11</v>
      </c>
      <c r="D13" s="5" t="s">
        <v>27</v>
      </c>
      <c r="E13" s="18" t="s">
        <v>56</v>
      </c>
      <c r="F13" s="19" t="s">
        <v>51</v>
      </c>
    </row>
    <row r="14" spans="2:6" ht="10" customHeight="1" thickBot="1" x14ac:dyDescent="0.25"/>
    <row r="15" spans="2:6" ht="64" x14ac:dyDescent="0.2">
      <c r="B15" s="49" t="s">
        <v>31</v>
      </c>
      <c r="C15" s="4" t="s">
        <v>3</v>
      </c>
      <c r="D15" s="4" t="s">
        <v>30</v>
      </c>
      <c r="E15" s="12" t="s">
        <v>40</v>
      </c>
      <c r="F15" s="13" t="s">
        <v>52</v>
      </c>
    </row>
    <row r="16" spans="2:6" ht="32" x14ac:dyDescent="0.2">
      <c r="B16" s="50"/>
      <c r="C16" s="3" t="s">
        <v>4</v>
      </c>
      <c r="D16" s="3" t="s">
        <v>27</v>
      </c>
      <c r="E16" s="14" t="s">
        <v>41</v>
      </c>
      <c r="F16" s="17" t="s">
        <v>59</v>
      </c>
    </row>
    <row r="17" spans="2:6" ht="64" x14ac:dyDescent="0.2">
      <c r="B17" s="50"/>
      <c r="C17" s="3" t="s">
        <v>5</v>
      </c>
      <c r="D17" s="3" t="s">
        <v>27</v>
      </c>
      <c r="E17" s="14" t="s">
        <v>42</v>
      </c>
      <c r="F17" s="17" t="s">
        <v>53</v>
      </c>
    </row>
    <row r="18" spans="2:6" ht="32" x14ac:dyDescent="0.2">
      <c r="B18" s="50"/>
      <c r="C18" s="3" t="s">
        <v>6</v>
      </c>
      <c r="D18" s="3" t="s">
        <v>27</v>
      </c>
      <c r="E18" s="14" t="s">
        <v>43</v>
      </c>
      <c r="F18" s="17" t="s">
        <v>54</v>
      </c>
    </row>
    <row r="19" spans="2:6" ht="32" x14ac:dyDescent="0.2">
      <c r="B19" s="50"/>
      <c r="C19" s="2" t="s">
        <v>7</v>
      </c>
      <c r="D19" s="3" t="s">
        <v>27</v>
      </c>
      <c r="E19" s="14" t="s">
        <v>44</v>
      </c>
      <c r="F19" s="17" t="s">
        <v>55</v>
      </c>
    </row>
    <row r="20" spans="2:6" ht="16" x14ac:dyDescent="0.2">
      <c r="B20" s="50"/>
      <c r="C20" s="2" t="s">
        <v>0</v>
      </c>
      <c r="D20" s="2" t="s">
        <v>27</v>
      </c>
      <c r="E20" s="14" t="s">
        <v>45</v>
      </c>
      <c r="F20" s="17" t="s">
        <v>82</v>
      </c>
    </row>
    <row r="21" spans="2:6" ht="65" thickBot="1" x14ac:dyDescent="0.25">
      <c r="B21" s="51"/>
      <c r="C21" s="6" t="s">
        <v>11</v>
      </c>
      <c r="D21" s="6" t="s">
        <v>27</v>
      </c>
      <c r="E21" s="18" t="s">
        <v>56</v>
      </c>
      <c r="F21" s="19" t="s">
        <v>51</v>
      </c>
    </row>
    <row r="22" spans="2:6" ht="10" customHeight="1" thickBot="1" x14ac:dyDescent="0.25"/>
    <row r="23" spans="2:6" ht="64" x14ac:dyDescent="0.2">
      <c r="B23" s="49" t="s">
        <v>32</v>
      </c>
      <c r="C23" s="7" t="s">
        <v>3</v>
      </c>
      <c r="D23" s="4" t="s">
        <v>30</v>
      </c>
      <c r="E23" s="12" t="s">
        <v>57</v>
      </c>
      <c r="F23" s="13" t="s">
        <v>52</v>
      </c>
    </row>
    <row r="24" spans="2:6" ht="32" x14ac:dyDescent="0.2">
      <c r="B24" s="50"/>
      <c r="C24" s="2" t="s">
        <v>4</v>
      </c>
      <c r="D24" s="3" t="s">
        <v>27</v>
      </c>
      <c r="E24" s="14" t="s">
        <v>58</v>
      </c>
      <c r="F24" s="17" t="s">
        <v>59</v>
      </c>
    </row>
    <row r="25" spans="2:6" ht="48" x14ac:dyDescent="0.2">
      <c r="B25" s="50"/>
      <c r="C25" s="2" t="s">
        <v>19</v>
      </c>
      <c r="D25" s="3" t="s">
        <v>27</v>
      </c>
      <c r="E25" s="14" t="s">
        <v>64</v>
      </c>
      <c r="F25" s="17" t="s">
        <v>60</v>
      </c>
    </row>
    <row r="26" spans="2:6" ht="48" x14ac:dyDescent="0.2">
      <c r="B26" s="50"/>
      <c r="C26" s="2" t="s">
        <v>20</v>
      </c>
      <c r="D26" s="3" t="s">
        <v>27</v>
      </c>
      <c r="E26" s="14" t="s">
        <v>62</v>
      </c>
      <c r="F26" s="16" t="s">
        <v>65</v>
      </c>
    </row>
    <row r="27" spans="2:6" ht="48" x14ac:dyDescent="0.2">
      <c r="B27" s="50"/>
      <c r="C27" s="2" t="s">
        <v>21</v>
      </c>
      <c r="D27" s="3" t="s">
        <v>27</v>
      </c>
      <c r="E27" s="14" t="s">
        <v>63</v>
      </c>
      <c r="F27" s="16" t="s">
        <v>66</v>
      </c>
    </row>
    <row r="28" spans="2:6" ht="48" x14ac:dyDescent="0.2">
      <c r="B28" s="50"/>
      <c r="C28" s="2" t="s">
        <v>22</v>
      </c>
      <c r="D28" s="3" t="s">
        <v>27</v>
      </c>
      <c r="E28" s="14" t="s">
        <v>61</v>
      </c>
      <c r="F28" s="16" t="s">
        <v>67</v>
      </c>
    </row>
    <row r="29" spans="2:6" ht="16" x14ac:dyDescent="0.2">
      <c r="B29" s="50"/>
      <c r="C29" s="2" t="s">
        <v>0</v>
      </c>
      <c r="D29" s="2" t="s">
        <v>27</v>
      </c>
      <c r="E29" s="14" t="s">
        <v>68</v>
      </c>
      <c r="F29" s="17" t="s">
        <v>81</v>
      </c>
    </row>
    <row r="30" spans="2:6" ht="65" thickBot="1" x14ac:dyDescent="0.25">
      <c r="B30" s="51"/>
      <c r="C30" s="6" t="s">
        <v>11</v>
      </c>
      <c r="D30" s="6" t="s">
        <v>27</v>
      </c>
      <c r="E30" s="18" t="s">
        <v>56</v>
      </c>
      <c r="F30" s="19" t="s">
        <v>51</v>
      </c>
    </row>
    <row r="31" spans="2:6" ht="10" customHeight="1" thickBot="1" x14ac:dyDescent="0.25">
      <c r="B31" s="23"/>
      <c r="C31" s="1"/>
      <c r="D31" s="1"/>
      <c r="E31" s="24"/>
      <c r="F31" s="24"/>
    </row>
    <row r="32" spans="2:6" ht="16" x14ac:dyDescent="0.2">
      <c r="B32" s="49" t="s">
        <v>87</v>
      </c>
      <c r="C32" s="7" t="s">
        <v>3</v>
      </c>
      <c r="D32" s="7" t="s">
        <v>30</v>
      </c>
      <c r="E32" s="12" t="s">
        <v>88</v>
      </c>
      <c r="F32" s="13" t="s">
        <v>94</v>
      </c>
    </row>
    <row r="33" spans="2:6" ht="32" x14ac:dyDescent="0.2">
      <c r="B33" s="50"/>
      <c r="C33" s="2" t="s">
        <v>4</v>
      </c>
      <c r="D33" s="2" t="s">
        <v>27</v>
      </c>
      <c r="E33" s="14" t="s">
        <v>89</v>
      </c>
      <c r="F33" s="17" t="s">
        <v>90</v>
      </c>
    </row>
    <row r="34" spans="2:6" ht="48" x14ac:dyDescent="0.2">
      <c r="B34" s="50"/>
      <c r="C34" s="2" t="s">
        <v>85</v>
      </c>
      <c r="D34" s="2" t="s">
        <v>30</v>
      </c>
      <c r="E34" s="14" t="s">
        <v>91</v>
      </c>
      <c r="F34" s="17" t="s">
        <v>95</v>
      </c>
    </row>
    <row r="35" spans="2:6" ht="32" x14ac:dyDescent="0.2">
      <c r="B35" s="50"/>
      <c r="C35" s="2" t="s">
        <v>86</v>
      </c>
      <c r="D35" s="2" t="s">
        <v>27</v>
      </c>
      <c r="E35" s="14" t="s">
        <v>92</v>
      </c>
      <c r="F35" s="17" t="s">
        <v>93</v>
      </c>
    </row>
    <row r="36" spans="2:6" ht="14.5" customHeight="1" x14ac:dyDescent="0.2">
      <c r="B36" s="50"/>
      <c r="C36" s="2" t="s">
        <v>0</v>
      </c>
      <c r="D36" s="2"/>
      <c r="E36" s="14" t="s">
        <v>68</v>
      </c>
      <c r="F36" s="17" t="s">
        <v>81</v>
      </c>
    </row>
    <row r="37" spans="2:6" ht="65" thickBot="1" x14ac:dyDescent="0.25">
      <c r="B37" s="51"/>
      <c r="C37" s="6" t="s">
        <v>11</v>
      </c>
      <c r="D37" s="6"/>
      <c r="E37" s="18" t="s">
        <v>56</v>
      </c>
      <c r="F37" s="19" t="s">
        <v>51</v>
      </c>
    </row>
    <row r="38" spans="2:6" ht="10" customHeight="1" thickBot="1" x14ac:dyDescent="0.25"/>
    <row r="39" spans="2:6" ht="64" x14ac:dyDescent="0.2">
      <c r="B39" s="49" t="s">
        <v>33</v>
      </c>
      <c r="C39" s="7" t="s">
        <v>3</v>
      </c>
      <c r="D39" s="4" t="s">
        <v>30</v>
      </c>
      <c r="E39" s="12" t="s">
        <v>69</v>
      </c>
      <c r="F39" s="13" t="s">
        <v>70</v>
      </c>
    </row>
    <row r="40" spans="2:6" ht="16" x14ac:dyDescent="0.2">
      <c r="B40" s="50"/>
      <c r="C40" s="2" t="s">
        <v>4</v>
      </c>
      <c r="D40" s="3" t="s">
        <v>27</v>
      </c>
      <c r="E40" s="14" t="s">
        <v>71</v>
      </c>
      <c r="F40" s="17" t="s">
        <v>72</v>
      </c>
    </row>
    <row r="41" spans="2:6" ht="48" x14ac:dyDescent="0.2">
      <c r="B41" s="50"/>
      <c r="C41" s="2" t="s">
        <v>14</v>
      </c>
      <c r="D41" s="3" t="s">
        <v>27</v>
      </c>
      <c r="E41" s="14" t="s">
        <v>73</v>
      </c>
      <c r="F41" s="17" t="s">
        <v>55</v>
      </c>
    </row>
    <row r="42" spans="2:6" ht="48" x14ac:dyDescent="0.2">
      <c r="B42" s="50"/>
      <c r="C42" s="2" t="s">
        <v>12</v>
      </c>
      <c r="D42" s="3" t="s">
        <v>27</v>
      </c>
      <c r="E42" s="14" t="s">
        <v>74</v>
      </c>
      <c r="F42" s="17" t="s">
        <v>55</v>
      </c>
    </row>
    <row r="43" spans="2:6" ht="48" x14ac:dyDescent="0.2">
      <c r="B43" s="50"/>
      <c r="C43" s="2" t="s">
        <v>13</v>
      </c>
      <c r="D43" s="3" t="s">
        <v>27</v>
      </c>
      <c r="E43" s="14" t="s">
        <v>75</v>
      </c>
      <c r="F43" s="17" t="s">
        <v>83</v>
      </c>
    </row>
    <row r="44" spans="2:6" ht="48" x14ac:dyDescent="0.2">
      <c r="B44" s="50"/>
      <c r="C44" s="2" t="s">
        <v>15</v>
      </c>
      <c r="D44" s="3" t="s">
        <v>27</v>
      </c>
      <c r="E44" s="14" t="s">
        <v>76</v>
      </c>
      <c r="F44" s="16" t="s">
        <v>55</v>
      </c>
    </row>
    <row r="45" spans="2:6" ht="48" x14ac:dyDescent="0.2">
      <c r="B45" s="50"/>
      <c r="C45" s="2" t="s">
        <v>8</v>
      </c>
      <c r="D45" s="3" t="s">
        <v>27</v>
      </c>
      <c r="E45" s="14" t="s">
        <v>77</v>
      </c>
      <c r="F45" s="17" t="s">
        <v>55</v>
      </c>
    </row>
    <row r="46" spans="2:6" ht="48" x14ac:dyDescent="0.2">
      <c r="B46" s="50"/>
      <c r="C46" s="2" t="s">
        <v>16</v>
      </c>
      <c r="D46" s="3" t="s">
        <v>27</v>
      </c>
      <c r="E46" s="14" t="s">
        <v>78</v>
      </c>
      <c r="F46" s="17" t="s">
        <v>55</v>
      </c>
    </row>
    <row r="47" spans="2:6" ht="32" x14ac:dyDescent="0.2">
      <c r="B47" s="50"/>
      <c r="C47" s="2" t="s">
        <v>7</v>
      </c>
      <c r="D47" s="3" t="s">
        <v>27</v>
      </c>
      <c r="E47" s="14" t="s">
        <v>79</v>
      </c>
      <c r="F47" s="17" t="s">
        <v>55</v>
      </c>
    </row>
    <row r="48" spans="2:6" ht="16" x14ac:dyDescent="0.2">
      <c r="B48" s="50"/>
      <c r="C48" s="2" t="s">
        <v>0</v>
      </c>
      <c r="D48" s="2" t="s">
        <v>27</v>
      </c>
      <c r="E48" s="14" t="s">
        <v>80</v>
      </c>
      <c r="F48" s="17" t="s">
        <v>84</v>
      </c>
    </row>
    <row r="49" spans="2:6" ht="65" thickBot="1" x14ac:dyDescent="0.25">
      <c r="B49" s="51"/>
      <c r="C49" s="6" t="s">
        <v>11</v>
      </c>
      <c r="D49" s="6" t="s">
        <v>27</v>
      </c>
      <c r="E49" s="18" t="s">
        <v>56</v>
      </c>
      <c r="F49" s="19" t="s">
        <v>51</v>
      </c>
    </row>
    <row r="50" spans="2:6" ht="10" customHeight="1" x14ac:dyDescent="0.2"/>
  </sheetData>
  <mergeCells count="6">
    <mergeCell ref="B8:B13"/>
    <mergeCell ref="B15:B21"/>
    <mergeCell ref="B23:B30"/>
    <mergeCell ref="B39:B49"/>
    <mergeCell ref="C2:F4"/>
    <mergeCell ref="B32:B37"/>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07D51-FBC0-41CA-8642-1B98D40F1184}">
  <dimension ref="A1:I64"/>
  <sheetViews>
    <sheetView showGridLines="0" zoomScale="87" workbookViewId="0">
      <pane xSplit="1" ySplit="1" topLeftCell="B2" activePane="bottomRight" state="frozen"/>
      <selection pane="topRight" activeCell="B1" sqref="B1"/>
      <selection pane="bottomLeft" activeCell="A2" sqref="A2"/>
      <selection pane="bottomRight" activeCell="D60" sqref="D60"/>
    </sheetView>
  </sheetViews>
  <sheetFormatPr baseColWidth="10" defaultColWidth="20.6640625" defaultRowHeight="19" x14ac:dyDescent="0.25"/>
  <cols>
    <col min="1" max="1" width="29.33203125" style="31" customWidth="1"/>
    <col min="2" max="2" width="98.5" style="31" customWidth="1"/>
    <col min="3" max="3" width="16.1640625" style="31" customWidth="1"/>
    <col min="4" max="7" width="20.6640625" style="31"/>
    <col min="8" max="8" width="2.1640625" style="31" customWidth="1"/>
    <col min="9" max="9" width="59.83203125" style="31" customWidth="1"/>
    <col min="10" max="16384" width="20.6640625" style="31"/>
  </cols>
  <sheetData>
    <row r="1" spans="1:9" x14ac:dyDescent="0.25">
      <c r="A1" s="31" t="s">
        <v>3</v>
      </c>
      <c r="B1" s="31" t="s">
        <v>4</v>
      </c>
      <c r="C1" s="31" t="s">
        <v>19</v>
      </c>
      <c r="D1" s="31" t="s">
        <v>20</v>
      </c>
      <c r="E1" s="31" t="s">
        <v>21</v>
      </c>
      <c r="F1" s="31" t="s">
        <v>22</v>
      </c>
      <c r="G1" s="31" t="s">
        <v>0</v>
      </c>
      <c r="I1" s="32" t="s">
        <v>11</v>
      </c>
    </row>
    <row r="2" spans="1:9" x14ac:dyDescent="0.25">
      <c r="A2" s="29" t="s">
        <v>244</v>
      </c>
      <c r="B2" s="29" t="s">
        <v>245</v>
      </c>
      <c r="C2" s="44">
        <f>DATE(1950,1,1)-DATE(1960,1,1)</f>
        <v>-3652</v>
      </c>
      <c r="F2" s="44">
        <f ca="1">TODAY()-DATE(1960,1,1)</f>
        <v>23245</v>
      </c>
      <c r="I2" s="33" t="s">
        <v>256</v>
      </c>
    </row>
    <row r="3" spans="1:9" ht="36" x14ac:dyDescent="0.25">
      <c r="A3" s="29" t="s">
        <v>207</v>
      </c>
      <c r="B3" s="29" t="s">
        <v>209</v>
      </c>
      <c r="C3" s="31">
        <v>0</v>
      </c>
      <c r="D3" s="34"/>
      <c r="E3" s="34">
        <v>15</v>
      </c>
      <c r="F3" s="34"/>
      <c r="G3" s="34"/>
    </row>
    <row r="4" spans="1:9" x14ac:dyDescent="0.25">
      <c r="A4" s="29" t="s">
        <v>202</v>
      </c>
      <c r="B4" s="29" t="s">
        <v>208</v>
      </c>
      <c r="C4" s="31">
        <v>0</v>
      </c>
      <c r="E4" s="31">
        <v>10</v>
      </c>
    </row>
    <row r="5" spans="1:9" x14ac:dyDescent="0.25">
      <c r="A5" s="29" t="s">
        <v>210</v>
      </c>
      <c r="B5" s="29" t="s">
        <v>211</v>
      </c>
      <c r="C5" s="31">
        <v>0</v>
      </c>
      <c r="E5" s="31">
        <v>5000</v>
      </c>
    </row>
    <row r="6" spans="1:9" x14ac:dyDescent="0.25">
      <c r="A6" s="29" t="s">
        <v>212</v>
      </c>
      <c r="B6" s="29" t="s">
        <v>213</v>
      </c>
      <c r="C6" s="31">
        <v>1</v>
      </c>
      <c r="F6" s="31">
        <v>7</v>
      </c>
    </row>
    <row r="7" spans="1:9" x14ac:dyDescent="0.25">
      <c r="A7" s="29" t="s">
        <v>203</v>
      </c>
      <c r="B7" s="29" t="s">
        <v>214</v>
      </c>
      <c r="C7" s="31">
        <v>0</v>
      </c>
      <c r="E7" s="31">
        <v>50</v>
      </c>
    </row>
    <row r="8" spans="1:9" x14ac:dyDescent="0.25">
      <c r="A8" s="29" t="s">
        <v>246</v>
      </c>
      <c r="B8" s="29" t="s">
        <v>247</v>
      </c>
      <c r="C8" s="31">
        <v>0</v>
      </c>
      <c r="E8" s="31">
        <v>50</v>
      </c>
    </row>
    <row r="9" spans="1:9" ht="36" x14ac:dyDescent="0.25">
      <c r="A9" s="29" t="s">
        <v>248</v>
      </c>
      <c r="B9" s="29" t="s">
        <v>249</v>
      </c>
      <c r="C9" s="31">
        <v>0</v>
      </c>
      <c r="F9" s="31">
        <v>10</v>
      </c>
    </row>
    <row r="10" spans="1:9" ht="54" x14ac:dyDescent="0.25">
      <c r="A10" s="29" t="s">
        <v>250</v>
      </c>
      <c r="B10" s="29" t="s">
        <v>251</v>
      </c>
      <c r="C10" s="31">
        <v>0</v>
      </c>
      <c r="F10" s="31">
        <v>10</v>
      </c>
    </row>
    <row r="11" spans="1:9" ht="36" x14ac:dyDescent="0.25">
      <c r="A11" s="29" t="s">
        <v>252</v>
      </c>
      <c r="B11" s="29" t="s">
        <v>253</v>
      </c>
      <c r="C11" s="31">
        <v>0</v>
      </c>
      <c r="F11" s="31">
        <v>10</v>
      </c>
    </row>
    <row r="12" spans="1:9" ht="54" x14ac:dyDescent="0.25">
      <c r="A12" s="29" t="s">
        <v>254</v>
      </c>
      <c r="B12" s="29" t="s">
        <v>255</v>
      </c>
      <c r="C12" s="31">
        <v>0</v>
      </c>
      <c r="F12" s="31">
        <v>10</v>
      </c>
    </row>
    <row r="13" spans="1:9" x14ac:dyDescent="0.25">
      <c r="A13" s="29" t="s">
        <v>319</v>
      </c>
      <c r="B13" s="29" t="s">
        <v>289</v>
      </c>
      <c r="F13" s="31">
        <f ca="1">TODAY()-DATE(1960,1,1)</f>
        <v>23245</v>
      </c>
    </row>
    <row r="14" spans="1:9" ht="54" x14ac:dyDescent="0.25">
      <c r="A14" s="29" t="s">
        <v>204</v>
      </c>
      <c r="B14" s="29" t="s">
        <v>215</v>
      </c>
      <c r="C14" s="31">
        <v>0</v>
      </c>
      <c r="E14" s="31">
        <v>60</v>
      </c>
    </row>
    <row r="15" spans="1:9" ht="54" x14ac:dyDescent="0.25">
      <c r="A15" s="29" t="s">
        <v>217</v>
      </c>
      <c r="B15" s="29" t="s">
        <v>218</v>
      </c>
      <c r="C15" s="31">
        <v>0</v>
      </c>
      <c r="E15" s="31">
        <v>60</v>
      </c>
    </row>
    <row r="16" spans="1:9" ht="72" x14ac:dyDescent="0.25">
      <c r="A16" s="29" t="s">
        <v>220</v>
      </c>
      <c r="B16" s="29" t="s">
        <v>219</v>
      </c>
      <c r="C16" s="31">
        <v>0</v>
      </c>
      <c r="E16" s="31">
        <v>60</v>
      </c>
    </row>
    <row r="17" spans="1:7" ht="54" x14ac:dyDescent="0.25">
      <c r="A17" s="29" t="s">
        <v>221</v>
      </c>
      <c r="B17" s="29" t="s">
        <v>222</v>
      </c>
      <c r="C17" s="31">
        <v>0</v>
      </c>
      <c r="E17" s="31">
        <v>60</v>
      </c>
    </row>
    <row r="18" spans="1:7" ht="36" x14ac:dyDescent="0.25">
      <c r="A18" s="29" t="s">
        <v>206</v>
      </c>
      <c r="B18" s="29" t="s">
        <v>223</v>
      </c>
      <c r="C18" s="31">
        <v>0</v>
      </c>
      <c r="E18" s="31">
        <v>12</v>
      </c>
    </row>
    <row r="19" spans="1:7" x14ac:dyDescent="0.25">
      <c r="A19" s="29" t="s">
        <v>224</v>
      </c>
      <c r="B19" s="29" t="s">
        <v>225</v>
      </c>
      <c r="C19" s="31">
        <v>0</v>
      </c>
      <c r="E19" s="31">
        <v>20000</v>
      </c>
    </row>
    <row r="20" spans="1:7" ht="54" x14ac:dyDescent="0.25">
      <c r="A20" s="29" t="s">
        <v>226</v>
      </c>
      <c r="B20" s="29" t="s">
        <v>227</v>
      </c>
      <c r="C20" s="31">
        <v>0</v>
      </c>
      <c r="E20" s="31">
        <v>93</v>
      </c>
    </row>
    <row r="21" spans="1:7" ht="54" x14ac:dyDescent="0.25">
      <c r="A21" s="29" t="s">
        <v>228</v>
      </c>
      <c r="B21" s="29" t="s">
        <v>229</v>
      </c>
      <c r="C21" s="31">
        <v>0</v>
      </c>
      <c r="E21" s="31">
        <v>93</v>
      </c>
    </row>
    <row r="22" spans="1:7" ht="54" x14ac:dyDescent="0.25">
      <c r="A22" s="29" t="s">
        <v>234</v>
      </c>
      <c r="B22" s="29" t="s">
        <v>235</v>
      </c>
      <c r="C22" s="31">
        <v>0</v>
      </c>
      <c r="F22" s="31">
        <v>10</v>
      </c>
    </row>
    <row r="23" spans="1:7" ht="36" x14ac:dyDescent="0.25">
      <c r="A23" s="29" t="s">
        <v>236</v>
      </c>
      <c r="B23" s="29" t="s">
        <v>237</v>
      </c>
      <c r="C23" s="31">
        <v>0</v>
      </c>
      <c r="F23" s="31">
        <v>10</v>
      </c>
    </row>
    <row r="24" spans="1:7" ht="36" x14ac:dyDescent="0.25">
      <c r="A24" s="29" t="s">
        <v>238</v>
      </c>
      <c r="B24" s="29" t="s">
        <v>239</v>
      </c>
      <c r="C24" s="31">
        <v>0</v>
      </c>
      <c r="F24" s="31">
        <v>10</v>
      </c>
    </row>
    <row r="25" spans="1:7" x14ac:dyDescent="0.25">
      <c r="A25" s="29" t="s">
        <v>240</v>
      </c>
      <c r="B25" s="29" t="s">
        <v>241</v>
      </c>
      <c r="C25" s="31">
        <v>0</v>
      </c>
      <c r="E25" s="31">
        <v>6</v>
      </c>
    </row>
    <row r="26" spans="1:7" x14ac:dyDescent="0.25">
      <c r="A26" s="29" t="s">
        <v>242</v>
      </c>
      <c r="B26" s="29" t="s">
        <v>243</v>
      </c>
      <c r="C26" s="31">
        <v>0</v>
      </c>
      <c r="E26" s="31">
        <v>180</v>
      </c>
    </row>
    <row r="27" spans="1:7" s="29" customFormat="1" ht="18" x14ac:dyDescent="0.2">
      <c r="A27" s="29" t="s">
        <v>258</v>
      </c>
      <c r="B27" s="35"/>
      <c r="C27" s="35">
        <v>0</v>
      </c>
      <c r="D27" s="35"/>
      <c r="E27" s="35"/>
      <c r="F27" s="35"/>
      <c r="G27" s="35"/>
    </row>
    <row r="28" spans="1:7" s="29" customFormat="1" ht="18" x14ac:dyDescent="0.2">
      <c r="A28" s="29" t="s">
        <v>257</v>
      </c>
      <c r="B28" s="35"/>
      <c r="C28" s="35">
        <v>0</v>
      </c>
      <c r="D28" s="35"/>
      <c r="E28" s="35"/>
      <c r="F28" s="35"/>
      <c r="G28" s="35"/>
    </row>
    <row r="29" spans="1:7" s="29" customFormat="1" ht="18" x14ac:dyDescent="0.2">
      <c r="A29" s="29" t="s">
        <v>259</v>
      </c>
      <c r="B29" s="35"/>
      <c r="C29" s="35">
        <v>0</v>
      </c>
      <c r="D29" s="35"/>
      <c r="E29" s="35"/>
      <c r="F29" s="35"/>
      <c r="G29" s="35"/>
    </row>
    <row r="30" spans="1:7" s="29" customFormat="1" ht="18" x14ac:dyDescent="0.2">
      <c r="A30" s="29" t="s">
        <v>268</v>
      </c>
      <c r="B30" s="35"/>
      <c r="C30" s="35">
        <v>0</v>
      </c>
      <c r="D30" s="35"/>
      <c r="E30" s="35"/>
      <c r="F30" s="35"/>
      <c r="G30" s="35"/>
    </row>
    <row r="31" spans="1:7" s="29" customFormat="1" ht="18" x14ac:dyDescent="0.2">
      <c r="A31" s="29" t="s">
        <v>260</v>
      </c>
      <c r="B31" s="35"/>
      <c r="C31" s="35">
        <v>0</v>
      </c>
      <c r="D31" s="35"/>
      <c r="E31" s="35"/>
      <c r="F31" s="35"/>
      <c r="G31" s="35"/>
    </row>
    <row r="32" spans="1:7" s="29" customFormat="1" ht="18" x14ac:dyDescent="0.2">
      <c r="A32" s="29" t="s">
        <v>261</v>
      </c>
      <c r="B32" s="35"/>
      <c r="C32" s="35">
        <v>0</v>
      </c>
      <c r="D32" s="35"/>
      <c r="E32" s="35"/>
      <c r="F32" s="35"/>
      <c r="G32" s="35"/>
    </row>
    <row r="33" spans="1:7" s="29" customFormat="1" ht="18" x14ac:dyDescent="0.2">
      <c r="A33" s="29" t="s">
        <v>262</v>
      </c>
      <c r="B33" s="35"/>
      <c r="C33" s="35">
        <v>0</v>
      </c>
      <c r="D33" s="35"/>
      <c r="E33" s="35"/>
      <c r="F33" s="35"/>
      <c r="G33" s="35"/>
    </row>
    <row r="34" spans="1:7" s="29" customFormat="1" ht="18" x14ac:dyDescent="0.2">
      <c r="A34" s="29" t="s">
        <v>263</v>
      </c>
      <c r="B34" s="35"/>
      <c r="C34" s="35">
        <v>0</v>
      </c>
      <c r="D34" s="35"/>
      <c r="E34" s="35"/>
      <c r="F34" s="35"/>
      <c r="G34" s="35"/>
    </row>
    <row r="35" spans="1:7" s="29" customFormat="1" ht="18" x14ac:dyDescent="0.2">
      <c r="A35" s="29" t="s">
        <v>313</v>
      </c>
      <c r="B35" s="35"/>
      <c r="C35" s="35">
        <v>0</v>
      </c>
      <c r="D35" s="35"/>
      <c r="E35" s="35"/>
      <c r="F35" s="35"/>
      <c r="G35" s="35"/>
    </row>
    <row r="36" spans="1:7" s="29" customFormat="1" ht="18" x14ac:dyDescent="0.2">
      <c r="A36" s="29" t="s">
        <v>264</v>
      </c>
      <c r="B36" s="35"/>
      <c r="C36" s="35">
        <v>0</v>
      </c>
      <c r="D36" s="35"/>
      <c r="E36" s="35"/>
      <c r="F36" s="35"/>
      <c r="G36" s="35"/>
    </row>
    <row r="37" spans="1:7" s="29" customFormat="1" ht="18" x14ac:dyDescent="0.2">
      <c r="A37" s="29" t="s">
        <v>265</v>
      </c>
      <c r="B37" s="35"/>
      <c r="C37" s="35">
        <v>0</v>
      </c>
      <c r="D37" s="35"/>
      <c r="E37" s="35"/>
      <c r="F37" s="35"/>
      <c r="G37" s="35"/>
    </row>
    <row r="38" spans="1:7" s="29" customFormat="1" ht="18" x14ac:dyDescent="0.2">
      <c r="A38" s="29" t="s">
        <v>266</v>
      </c>
      <c r="B38" s="35"/>
      <c r="C38" s="35">
        <v>0</v>
      </c>
      <c r="D38" s="35"/>
      <c r="E38" s="35"/>
      <c r="F38" s="35"/>
      <c r="G38" s="35"/>
    </row>
    <row r="39" spans="1:7" s="29" customFormat="1" ht="18" x14ac:dyDescent="0.2">
      <c r="A39" s="29" t="s">
        <v>267</v>
      </c>
      <c r="B39" s="35"/>
      <c r="C39" s="35">
        <v>0</v>
      </c>
      <c r="D39" s="35"/>
      <c r="E39" s="35"/>
      <c r="F39" s="35"/>
      <c r="G39" s="35"/>
    </row>
    <row r="40" spans="1:7" x14ac:dyDescent="0.25">
      <c r="A40" s="31" t="s">
        <v>336</v>
      </c>
      <c r="C40" s="31">
        <v>5</v>
      </c>
    </row>
    <row r="41" spans="1:7" x14ac:dyDescent="0.25">
      <c r="A41" s="31" t="s">
        <v>337</v>
      </c>
      <c r="B41" s="29" t="s">
        <v>347</v>
      </c>
      <c r="C41" s="31">
        <v>5</v>
      </c>
      <c r="D41" s="31">
        <v>10</v>
      </c>
    </row>
    <row r="42" spans="1:7" ht="36" x14ac:dyDescent="0.25">
      <c r="A42" s="31" t="s">
        <v>338</v>
      </c>
      <c r="B42" s="29" t="s">
        <v>348</v>
      </c>
      <c r="C42" s="31">
        <v>5</v>
      </c>
      <c r="D42" s="31">
        <v>15</v>
      </c>
    </row>
    <row r="43" spans="1:7" x14ac:dyDescent="0.25">
      <c r="A43" s="31" t="s">
        <v>339</v>
      </c>
      <c r="B43" s="29" t="s">
        <v>349</v>
      </c>
      <c r="C43" s="31">
        <v>5</v>
      </c>
      <c r="D43" s="31">
        <v>20</v>
      </c>
    </row>
    <row r="44" spans="1:7" ht="36" x14ac:dyDescent="0.25">
      <c r="A44" s="31" t="s">
        <v>340</v>
      </c>
      <c r="B44" s="29" t="s">
        <v>350</v>
      </c>
      <c r="C44" s="31">
        <v>5</v>
      </c>
      <c r="D44" s="31">
        <v>20</v>
      </c>
    </row>
    <row r="45" spans="1:7" ht="36" x14ac:dyDescent="0.25">
      <c r="A45" s="31" t="s">
        <v>341</v>
      </c>
      <c r="B45" s="29" t="s">
        <v>351</v>
      </c>
      <c r="C45" s="31">
        <v>5</v>
      </c>
      <c r="D45" s="31">
        <v>15</v>
      </c>
    </row>
    <row r="46" spans="1:7" ht="36" x14ac:dyDescent="0.25">
      <c r="A46" s="31" t="s">
        <v>342</v>
      </c>
      <c r="B46" s="29" t="s">
        <v>352</v>
      </c>
      <c r="C46" s="31">
        <v>5</v>
      </c>
      <c r="D46" s="31">
        <v>15</v>
      </c>
    </row>
    <row r="47" spans="1:7" x14ac:dyDescent="0.25">
      <c r="A47" s="31" t="s">
        <v>343</v>
      </c>
      <c r="B47" s="29" t="s">
        <v>353</v>
      </c>
      <c r="C47" s="31">
        <v>5</v>
      </c>
      <c r="D47" s="31">
        <v>15</v>
      </c>
    </row>
    <row r="48" spans="1:7" x14ac:dyDescent="0.25">
      <c r="A48" s="31" t="s">
        <v>335</v>
      </c>
      <c r="B48" s="29" t="s">
        <v>354</v>
      </c>
      <c r="C48" s="31">
        <v>2</v>
      </c>
    </row>
    <row r="49" spans="1:4" x14ac:dyDescent="0.25">
      <c r="A49" s="31" t="s">
        <v>345</v>
      </c>
      <c r="B49" s="29" t="s">
        <v>355</v>
      </c>
      <c r="C49" s="31">
        <v>5</v>
      </c>
      <c r="D49" s="31">
        <v>20</v>
      </c>
    </row>
    <row r="50" spans="1:4" x14ac:dyDescent="0.25">
      <c r="A50" s="31" t="s">
        <v>346</v>
      </c>
      <c r="B50" s="29" t="s">
        <v>356</v>
      </c>
      <c r="C50" s="31">
        <v>5</v>
      </c>
      <c r="D50" s="31">
        <v>20</v>
      </c>
    </row>
    <row r="51" spans="1:4" x14ac:dyDescent="0.25">
      <c r="A51" s="31" t="s">
        <v>359</v>
      </c>
      <c r="B51" s="29" t="s">
        <v>357</v>
      </c>
      <c r="C51" s="31">
        <v>5</v>
      </c>
      <c r="D51" s="31">
        <v>20</v>
      </c>
    </row>
    <row r="52" spans="1:4" x14ac:dyDescent="0.25">
      <c r="A52" s="31" t="s">
        <v>360</v>
      </c>
      <c r="B52" s="29" t="s">
        <v>358</v>
      </c>
      <c r="C52" s="31">
        <v>5</v>
      </c>
      <c r="D52" s="31">
        <v>20</v>
      </c>
    </row>
    <row r="53" spans="1:4" ht="72" x14ac:dyDescent="0.25">
      <c r="A53" s="31" t="s">
        <v>344</v>
      </c>
      <c r="B53" s="29" t="s">
        <v>380</v>
      </c>
      <c r="C53" s="31">
        <v>5</v>
      </c>
      <c r="D53" s="31">
        <v>20</v>
      </c>
    </row>
    <row r="54" spans="1:4" ht="72" x14ac:dyDescent="0.25">
      <c r="A54" s="31" t="s">
        <v>379</v>
      </c>
      <c r="B54" s="29" t="s">
        <v>381</v>
      </c>
      <c r="C54" s="31">
        <v>5</v>
      </c>
      <c r="D54" s="31">
        <v>20</v>
      </c>
    </row>
    <row r="55" spans="1:4" ht="90" x14ac:dyDescent="0.25">
      <c r="A55" s="31" t="s">
        <v>383</v>
      </c>
      <c r="B55" s="29" t="s">
        <v>382</v>
      </c>
      <c r="C55" s="31">
        <v>5</v>
      </c>
      <c r="D55" s="31">
        <v>20</v>
      </c>
    </row>
    <row r="56" spans="1:4" x14ac:dyDescent="0.25">
      <c r="A56" s="31" t="s">
        <v>362</v>
      </c>
      <c r="B56" s="29" t="s">
        <v>370</v>
      </c>
      <c r="C56" s="31">
        <v>5</v>
      </c>
      <c r="D56" s="31">
        <v>10</v>
      </c>
    </row>
    <row r="57" spans="1:4" x14ac:dyDescent="0.25">
      <c r="A57" s="31" t="s">
        <v>361</v>
      </c>
      <c r="B57" s="29" t="s">
        <v>371</v>
      </c>
      <c r="C57" s="31">
        <v>5</v>
      </c>
      <c r="D57" s="31">
        <v>10</v>
      </c>
    </row>
    <row r="58" spans="1:4" x14ac:dyDescent="0.25">
      <c r="A58" s="31" t="s">
        <v>363</v>
      </c>
      <c r="B58" s="29" t="s">
        <v>372</v>
      </c>
      <c r="C58" s="31">
        <v>5</v>
      </c>
      <c r="D58" s="31">
        <v>10</v>
      </c>
    </row>
    <row r="59" spans="1:4" x14ac:dyDescent="0.25">
      <c r="A59" s="31" t="s">
        <v>364</v>
      </c>
      <c r="B59" s="29" t="s">
        <v>373</v>
      </c>
      <c r="C59" s="31">
        <v>5</v>
      </c>
      <c r="D59" s="31">
        <v>10</v>
      </c>
    </row>
    <row r="60" spans="1:4" x14ac:dyDescent="0.25">
      <c r="A60" s="31" t="s">
        <v>365</v>
      </c>
      <c r="B60" s="29" t="s">
        <v>374</v>
      </c>
      <c r="C60" s="31">
        <v>5</v>
      </c>
      <c r="D60" s="31">
        <v>25</v>
      </c>
    </row>
    <row r="61" spans="1:4" x14ac:dyDescent="0.25">
      <c r="A61" s="31" t="s">
        <v>366</v>
      </c>
      <c r="B61" s="29" t="s">
        <v>375</v>
      </c>
      <c r="C61" s="31">
        <v>5</v>
      </c>
      <c r="D61" s="31">
        <v>25</v>
      </c>
    </row>
    <row r="62" spans="1:4" x14ac:dyDescent="0.25">
      <c r="A62" s="31" t="s">
        <v>367</v>
      </c>
      <c r="B62" s="29" t="s">
        <v>376</v>
      </c>
      <c r="C62" s="31">
        <v>5</v>
      </c>
      <c r="D62" s="31">
        <v>25</v>
      </c>
    </row>
    <row r="63" spans="1:4" x14ac:dyDescent="0.25">
      <c r="A63" s="31" t="s">
        <v>368</v>
      </c>
      <c r="B63" s="29" t="s">
        <v>377</v>
      </c>
      <c r="C63" s="31">
        <v>5</v>
      </c>
      <c r="D63" s="31">
        <v>25</v>
      </c>
    </row>
    <row r="64" spans="1:4" x14ac:dyDescent="0.25">
      <c r="A64" s="31" t="s">
        <v>369</v>
      </c>
      <c r="B64" s="29" t="s">
        <v>378</v>
      </c>
      <c r="C64" s="31">
        <v>5</v>
      </c>
      <c r="D64" s="31">
        <v>25</v>
      </c>
    </row>
  </sheetData>
  <conditionalFormatting sqref="A2:B26">
    <cfRule type="expression" dxfId="31" priority="266">
      <formula>A2 &lt;&gt; ""</formula>
    </cfRule>
  </conditionalFormatting>
  <conditionalFormatting sqref="A1:G1 C2:G26 A40:G40 A41:A64 C41:G64 A65:G1048576">
    <cfRule type="expression" dxfId="30" priority="1029">
      <formula>$A1&lt;&gt;""</formula>
    </cfRule>
  </conditionalFormatting>
  <conditionalFormatting sqref="A1:G1">
    <cfRule type="expression" dxfId="29" priority="1030">
      <formula>$A1="variable"</formula>
    </cfRule>
  </conditionalFormatting>
  <conditionalFormatting sqref="A27:XFD39">
    <cfRule type="expression" dxfId="28" priority="264">
      <formula>A27 &lt;&gt; ""</formula>
    </cfRule>
  </conditionalFormatting>
  <conditionalFormatting sqref="B41">
    <cfRule type="expression" dxfId="27" priority="241" stopIfTrue="1">
      <formula>$A41="enumerator"</formula>
    </cfRule>
    <cfRule type="expression" dxfId="26" priority="242" stopIfTrue="1">
      <formula>OR(AND(LEFT($A41, 14)="sensor_stream ", LEN($A41)&gt;14, NOT(ISNUMBER(SEARCH(" ", $A41, 15)))), AND(LEFT($A41, 17)="sensor_statistic ", LEN($A41)&gt;17, NOT(ISNUMBER(SEARCH(" ", $A41, 18)))))</formula>
    </cfRule>
    <cfRule type="expression" dxfId="25" priority="243" stopIfTrue="1">
      <formula>$A41="comments"</formula>
    </cfRule>
    <cfRule type="expression" dxfId="24" priority="244" stopIfTrue="1">
      <formula>OR($A41="audio", $A41="video")</formula>
    </cfRule>
    <cfRule type="expression" dxfId="23" priority="245" stopIfTrue="1">
      <formula>$A41="image"</formula>
    </cfRule>
    <cfRule type="expression" dxfId="22" priority="246" stopIfTrue="1">
      <formula>OR($A41="date", $A41="datetime", $A41="time")</formula>
    </cfRule>
    <cfRule type="expression" dxfId="21" priority="247" stopIfTrue="1">
      <formula>OR($A41="calculate", $A41="calculate_here")</formula>
    </cfRule>
    <cfRule type="expression" dxfId="20" priority="248" stopIfTrue="1">
      <formula>$A41="note"</formula>
    </cfRule>
    <cfRule type="expression" dxfId="19" priority="249" stopIfTrue="1">
      <formula>$A41="barcode"</formula>
    </cfRule>
    <cfRule type="expression" dxfId="18" priority="250" stopIfTrue="1">
      <formula>OR($A41="geopoint", $A41="geoshape", $A41="geotrace")</formula>
    </cfRule>
    <cfRule type="expression" dxfId="17" priority="251" stopIfTrue="1">
      <formula>OR($A41="audio audit", $A41="text audit", $A41="speed violations count", $A41="speed violations list", $A41="speed violations audit")</formula>
    </cfRule>
    <cfRule type="expression" dxfId="16" priority="253" stopIfTrue="1">
      <formula>OR(AND(LEFT($A41, 16)="select_multiple ", LEN($A41)&gt;16, NOT(ISNUMBER(SEARCH(" ", $A41, 17)))), AND(LEFT($A41, 11)="select_one ", LEN($A41)&gt;11, NOT(ISNUMBER(SEARCH(" ", $A41, 12)))))</formula>
    </cfRule>
    <cfRule type="expression" dxfId="15" priority="240" stopIfTrue="1">
      <formula>$A41="enumerator"</formula>
    </cfRule>
    <cfRule type="expression" dxfId="14" priority="254" stopIfTrue="1">
      <formula>$A41="decimal"</formula>
    </cfRule>
    <cfRule type="expression" dxfId="13" priority="255" stopIfTrue="1">
      <formula>$A41="decimal"</formula>
    </cfRule>
    <cfRule type="expression" dxfId="12" priority="256" stopIfTrue="1">
      <formula>$A41="integer"</formula>
    </cfRule>
    <cfRule type="expression" dxfId="11" priority="257" stopIfTrue="1">
      <formula>$A41="integer"</formula>
    </cfRule>
    <cfRule type="expression" dxfId="10" priority="258" stopIfTrue="1">
      <formula>$A41="text"</formula>
    </cfRule>
    <cfRule type="expression" dxfId="9" priority="259" stopIfTrue="1">
      <formula>$A41="text"</formula>
    </cfRule>
    <cfRule type="expression" dxfId="8" priority="260" stopIfTrue="1">
      <formula>$A41="end repeat"</formula>
    </cfRule>
    <cfRule type="expression" dxfId="7" priority="261" stopIfTrue="1">
      <formula>$A41="begin repeat"</formula>
    </cfRule>
    <cfRule type="expression" dxfId="6" priority="262" stopIfTrue="1">
      <formula>$A41="end group"</formula>
    </cfRule>
    <cfRule type="expression" dxfId="5" priority="263" stopIfTrue="1">
      <formula>$A41="begin group"</formula>
    </cfRule>
    <cfRule type="expression" dxfId="4" priority="239" stopIfTrue="1">
      <formula>$A41="file"</formula>
    </cfRule>
    <cfRule type="containsText" dxfId="3" priority="238" operator="containsText" text="Text">
      <formula>NOT(ISERROR(SEARCH("Text",B41)))</formula>
    </cfRule>
    <cfRule type="expression" dxfId="2" priority="252" stopIfTrue="1">
      <formula>OR($A41="username", $A41="phonenumber", $A41="start", $A41="end", $A41="deviceid", $A41="subscriberid", $A41="simserial", $A41="caseid")</formula>
    </cfRule>
  </conditionalFormatting>
  <conditionalFormatting sqref="B41:B64">
    <cfRule type="expression" dxfId="1" priority="3">
      <formula>B41 &lt;&gt; ""</formula>
    </cfRule>
  </conditionalFormatting>
  <conditionalFormatting sqref="F19">
    <cfRule type="expression" dxfId="0" priority="2572">
      <formula>$A20&lt;&gt;""</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BE10A-89B2-4AF7-BBD0-5CA27116347A}">
  <dimension ref="A1:I20"/>
  <sheetViews>
    <sheetView showGridLines="0" tabSelected="1" topLeftCell="A10" zoomScale="125" workbookViewId="0">
      <pane xSplit="1" topLeftCell="B1" activePane="topRight" state="frozen"/>
      <selection pane="topRight" activeCell="D16" sqref="D16"/>
    </sheetView>
  </sheetViews>
  <sheetFormatPr baseColWidth="10" defaultColWidth="20.6640625" defaultRowHeight="15" x14ac:dyDescent="0.2"/>
  <cols>
    <col min="1" max="1" width="20.6640625" style="10" customWidth="1"/>
    <col min="2" max="2" width="71" style="10" bestFit="1" customWidth="1"/>
    <col min="3" max="3" width="41.6640625" style="10" customWidth="1"/>
    <col min="4" max="4" width="27.33203125" style="10" customWidth="1"/>
    <col min="5" max="5" width="46.33203125" style="10" customWidth="1"/>
    <col min="6" max="6" width="2.1640625" style="10" customWidth="1"/>
    <col min="7" max="7" width="28.1640625" style="10" bestFit="1" customWidth="1"/>
    <col min="8" max="16384" width="20.6640625" style="10"/>
  </cols>
  <sheetData>
    <row r="1" spans="1:9" ht="16" x14ac:dyDescent="0.2">
      <c r="A1" s="36" t="s">
        <v>3</v>
      </c>
      <c r="B1" s="36" t="s">
        <v>4</v>
      </c>
      <c r="C1" s="36" t="s">
        <v>85</v>
      </c>
      <c r="D1" s="36" t="s">
        <v>86</v>
      </c>
      <c r="E1" s="36" t="s">
        <v>0</v>
      </c>
      <c r="F1" s="37"/>
      <c r="G1" s="38" t="s">
        <v>11</v>
      </c>
    </row>
    <row r="2" spans="1:9" ht="32" x14ac:dyDescent="0.2">
      <c r="A2" s="40" t="s">
        <v>269</v>
      </c>
      <c r="B2" s="41" t="s">
        <v>270</v>
      </c>
      <c r="C2" s="40" t="s">
        <v>271</v>
      </c>
      <c r="D2" s="40" t="s">
        <v>305</v>
      </c>
      <c r="E2" s="40"/>
      <c r="G2" s="14" t="s">
        <v>390</v>
      </c>
    </row>
    <row r="3" spans="1:9" ht="32" x14ac:dyDescent="0.2">
      <c r="A3" s="40" t="s">
        <v>272</v>
      </c>
      <c r="B3" s="41" t="s">
        <v>273</v>
      </c>
      <c r="C3" s="40" t="s">
        <v>274</v>
      </c>
      <c r="D3" s="40" t="s">
        <v>304</v>
      </c>
      <c r="E3" s="40"/>
      <c r="G3" s="24"/>
    </row>
    <row r="4" spans="1:9" ht="32" x14ac:dyDescent="0.2">
      <c r="A4" s="40" t="s">
        <v>275</v>
      </c>
      <c r="B4" s="41" t="s">
        <v>276</v>
      </c>
      <c r="C4" s="40" t="s">
        <v>277</v>
      </c>
      <c r="D4" s="40" t="s">
        <v>303</v>
      </c>
      <c r="E4" s="41"/>
      <c r="G4" s="24"/>
      <c r="I4" s="10">
        <f>DATE(2004,12,31)-DATE(1960,1,1)</f>
        <v>16436</v>
      </c>
    </row>
    <row r="5" spans="1:9" ht="16" x14ac:dyDescent="0.2">
      <c r="A5" s="40" t="s">
        <v>320</v>
      </c>
      <c r="B5" s="41" t="s">
        <v>278</v>
      </c>
      <c r="C5" s="40" t="s">
        <v>322</v>
      </c>
      <c r="D5" s="40" t="s">
        <v>321</v>
      </c>
      <c r="E5" s="41"/>
      <c r="G5" s="24"/>
      <c r="I5" s="10">
        <f>DATE(1932,1,1)-DATE(1960,1,1)</f>
        <v>-10227</v>
      </c>
    </row>
    <row r="6" spans="1:9" ht="16" x14ac:dyDescent="0.2">
      <c r="A6" s="40" t="s">
        <v>279</v>
      </c>
      <c r="B6" s="40" t="s">
        <v>331</v>
      </c>
      <c r="C6" s="40" t="s">
        <v>391</v>
      </c>
      <c r="D6" s="40" t="s">
        <v>302</v>
      </c>
      <c r="E6" s="41"/>
      <c r="G6" s="24"/>
    </row>
    <row r="7" spans="1:9" ht="16" x14ac:dyDescent="0.2">
      <c r="A7" s="41" t="s">
        <v>280</v>
      </c>
      <c r="B7" s="41" t="s">
        <v>281</v>
      </c>
      <c r="C7" s="40" t="s">
        <v>282</v>
      </c>
      <c r="D7" s="40" t="s">
        <v>306</v>
      </c>
      <c r="E7" s="40"/>
      <c r="G7" s="24"/>
    </row>
    <row r="8" spans="1:9" ht="16" x14ac:dyDescent="0.2">
      <c r="A8" s="40" t="s">
        <v>283</v>
      </c>
      <c r="B8" s="41" t="s">
        <v>284</v>
      </c>
      <c r="C8" s="40" t="s">
        <v>285</v>
      </c>
      <c r="D8" s="40" t="s">
        <v>307</v>
      </c>
      <c r="E8" s="40"/>
      <c r="G8" s="24"/>
    </row>
    <row r="9" spans="1:9" ht="16" x14ac:dyDescent="0.2">
      <c r="A9" s="40" t="s">
        <v>286</v>
      </c>
      <c r="B9" s="41" t="s">
        <v>287</v>
      </c>
      <c r="C9" s="40" t="s">
        <v>288</v>
      </c>
      <c r="D9" s="40" t="s">
        <v>301</v>
      </c>
      <c r="E9" s="41"/>
    </row>
    <row r="10" spans="1:9" ht="48" x14ac:dyDescent="0.2">
      <c r="A10" s="40" t="s">
        <v>204</v>
      </c>
      <c r="B10" s="41" t="s">
        <v>215</v>
      </c>
      <c r="C10" s="40" t="s">
        <v>312</v>
      </c>
      <c r="D10" s="40" t="s">
        <v>300</v>
      </c>
      <c r="E10" s="41"/>
    </row>
    <row r="11" spans="1:9" ht="48" x14ac:dyDescent="0.2">
      <c r="A11" s="41" t="s">
        <v>205</v>
      </c>
      <c r="B11" s="41" t="s">
        <v>216</v>
      </c>
      <c r="C11" s="42" t="s">
        <v>311</v>
      </c>
      <c r="D11" s="40" t="s">
        <v>299</v>
      </c>
      <c r="E11" s="41"/>
    </row>
    <row r="12" spans="1:9" ht="48" x14ac:dyDescent="0.2">
      <c r="A12" s="41" t="s">
        <v>217</v>
      </c>
      <c r="B12" s="41" t="s">
        <v>218</v>
      </c>
      <c r="C12" s="40" t="s">
        <v>310</v>
      </c>
      <c r="D12" s="40" t="s">
        <v>298</v>
      </c>
      <c r="E12" s="41"/>
    </row>
    <row r="13" spans="1:9" ht="64" x14ac:dyDescent="0.2">
      <c r="A13" s="40" t="s">
        <v>220</v>
      </c>
      <c r="B13" s="41" t="s">
        <v>219</v>
      </c>
      <c r="C13" s="40" t="s">
        <v>334</v>
      </c>
      <c r="D13" s="40" t="s">
        <v>297</v>
      </c>
      <c r="E13" s="41"/>
    </row>
    <row r="14" spans="1:9" ht="32" x14ac:dyDescent="0.2">
      <c r="A14" s="39" t="s">
        <v>290</v>
      </c>
      <c r="B14" s="39" t="s">
        <v>291</v>
      </c>
      <c r="C14" s="42" t="s">
        <v>292</v>
      </c>
      <c r="D14" s="39" t="s">
        <v>308</v>
      </c>
      <c r="E14" s="39"/>
      <c r="G14" s="24"/>
    </row>
    <row r="15" spans="1:9" ht="32" x14ac:dyDescent="0.2">
      <c r="A15" s="39" t="s">
        <v>232</v>
      </c>
      <c r="B15" s="39" t="s">
        <v>233</v>
      </c>
      <c r="C15" s="42" t="s">
        <v>296</v>
      </c>
      <c r="D15" s="39" t="s">
        <v>309</v>
      </c>
      <c r="E15" s="39"/>
      <c r="G15" s="24"/>
    </row>
    <row r="16" spans="1:9" ht="96" x14ac:dyDescent="0.2">
      <c r="A16" s="43" t="s">
        <v>293</v>
      </c>
      <c r="B16" s="39" t="s">
        <v>294</v>
      </c>
      <c r="C16" s="42" t="s">
        <v>393</v>
      </c>
      <c r="D16" s="39" t="s">
        <v>392</v>
      </c>
      <c r="E16" s="39" t="s">
        <v>295</v>
      </c>
    </row>
    <row r="17" spans="1:5" ht="32" x14ac:dyDescent="0.2">
      <c r="A17" t="s">
        <v>230</v>
      </c>
      <c r="B17" t="s">
        <v>231</v>
      </c>
      <c r="C17" s="24" t="s">
        <v>329</v>
      </c>
      <c r="D17" s="24" t="s">
        <v>330</v>
      </c>
    </row>
    <row r="18" spans="1:5" ht="16" x14ac:dyDescent="0.2">
      <c r="A18" s="10" t="s">
        <v>267</v>
      </c>
      <c r="B18" s="46"/>
      <c r="C18" s="24" t="s">
        <v>332</v>
      </c>
      <c r="D18" s="47" t="s">
        <v>333</v>
      </c>
      <c r="E18" s="48"/>
    </row>
    <row r="19" spans="1:5" ht="16" x14ac:dyDescent="0.2">
      <c r="A19" s="24" t="s">
        <v>384</v>
      </c>
      <c r="B19" t="s">
        <v>385</v>
      </c>
      <c r="C19" s="24" t="s">
        <v>386</v>
      </c>
      <c r="D19" s="24" t="s">
        <v>387</v>
      </c>
    </row>
    <row r="20" spans="1:5" ht="16" x14ac:dyDescent="0.2">
      <c r="A20" s="24" t="s">
        <v>384</v>
      </c>
      <c r="B20" t="s">
        <v>385</v>
      </c>
      <c r="C20" s="24" t="s">
        <v>388</v>
      </c>
      <c r="D20" s="24" t="s">
        <v>389</v>
      </c>
    </row>
  </sheetData>
  <conditionalFormatting sqref="A1:E1 C2 D4:E4 C9:E9 A14:B16 E2:E3 A12:E13 C10 E10:E11 C8 E5:E8 D14:E16 C17:E17 A21:E1048576 A18:A20 C19:E20">
    <cfRule type="expression" dxfId="1908" priority="1254">
      <formula>$A1&lt;&gt;""</formula>
    </cfRule>
  </conditionalFormatting>
  <conditionalFormatting sqref="A2:B2">
    <cfRule type="expression" dxfId="1907" priority="1224" stopIfTrue="1">
      <formula>$A2="comments"</formula>
    </cfRule>
  </conditionalFormatting>
  <conditionalFormatting sqref="A2:B2">
    <cfRule type="expression" dxfId="1906" priority="1220" stopIfTrue="1">
      <formula>$A2="file"</formula>
    </cfRule>
    <cfRule type="expression" dxfId="1905" priority="1226" stopIfTrue="1">
      <formula>OR($A2="audio", $A2="video")</formula>
    </cfRule>
    <cfRule type="expression" dxfId="1904" priority="1233" stopIfTrue="1">
      <formula>$A2="note"</formula>
    </cfRule>
    <cfRule type="expression" dxfId="1903" priority="1235" stopIfTrue="1">
      <formula>$A2="barcode"</formula>
    </cfRule>
    <cfRule type="expression" dxfId="1902" priority="1237" stopIfTrue="1">
      <formula>OR($A2="geopoint", $A2="geoshape", $A2="geotrace")</formula>
    </cfRule>
  </conditionalFormatting>
  <conditionalFormatting sqref="A2:B2">
    <cfRule type="expression" dxfId="1901" priority="1223" stopIfTrue="1">
      <formula>OR(AND(LEFT($A2, 14)="sensor_stream ", LEN($A2)&gt;14, NOT(ISNUMBER(SEARCH(" ", $A2, 15)))), AND(LEFT($A2, 17)="sensor_statistic ", LEN($A2)&gt;17, NOT(ISNUMBER(SEARCH(" ", $A2, 18)))))</formula>
    </cfRule>
    <cfRule type="expression" dxfId="1900" priority="1238" stopIfTrue="1">
      <formula>OR($A2="audio audit", $A2="text audit", $A2="speed violations count", $A2="speed violations list", $A2="speed violations audit")</formula>
    </cfRule>
  </conditionalFormatting>
  <conditionalFormatting sqref="A2:B2">
    <cfRule type="expression" dxfId="1899" priority="1231" stopIfTrue="1">
      <formula>OR($A2="calculate", $A2="calculate_here")</formula>
    </cfRule>
  </conditionalFormatting>
  <conditionalFormatting sqref="A2:B2">
    <cfRule type="expression" dxfId="1898" priority="1222" stopIfTrue="1">
      <formula>$A2="enumerator"</formula>
    </cfRule>
    <cfRule type="expression" dxfId="1897" priority="1228" stopIfTrue="1">
      <formula>$A2="image"</formula>
    </cfRule>
    <cfRule type="expression" dxfId="1896" priority="1230" stopIfTrue="1">
      <formula>OR($A2="date", $A2="datetime", $A2="time")</formula>
    </cfRule>
    <cfRule type="expression" dxfId="1895" priority="1241" stopIfTrue="1">
      <formula>OR(AND(LEFT($A2, 16)="select_multiple ", LEN($A2)&gt;16, NOT(ISNUMBER(SEARCH(" ", $A2, 17)))), AND(LEFT($A2, 11)="select_one ", LEN($A2)&gt;11, NOT(ISNUMBER(SEARCH(" ", $A2, 12)))))</formula>
    </cfRule>
    <cfRule type="expression" dxfId="1894" priority="1243" stopIfTrue="1">
      <formula>$A2="decimal"</formula>
    </cfRule>
    <cfRule type="expression" dxfId="1893" priority="1245" stopIfTrue="1">
      <formula>$A2="integer"</formula>
    </cfRule>
    <cfRule type="expression" dxfId="1892" priority="1247" stopIfTrue="1">
      <formula>$A2="text"</formula>
    </cfRule>
    <cfRule type="expression" dxfId="1891" priority="1253" stopIfTrue="1">
      <formula>$A2="begin group"</formula>
    </cfRule>
  </conditionalFormatting>
  <conditionalFormatting sqref="A2:B2">
    <cfRule type="expression" dxfId="1890" priority="1239" stopIfTrue="1">
      <formula>OR($A2="username", $A2="phonenumber", $A2="start", $A2="end", $A2="deviceid", $A2="subscriberid", $A2="simserial", $A2="caseid")</formula>
    </cfRule>
    <cfRule type="expression" dxfId="1889" priority="1248" stopIfTrue="1">
      <formula>$A2="end repeat"</formula>
    </cfRule>
    <cfRule type="expression" dxfId="1888" priority="1250" stopIfTrue="1">
      <formula>$A2="begin repeat"</formula>
    </cfRule>
    <cfRule type="expression" dxfId="1887" priority="1251" stopIfTrue="1">
      <formula>$A2="end group"</formula>
    </cfRule>
  </conditionalFormatting>
  <conditionalFormatting sqref="A2">
    <cfRule type="expression" dxfId="1886" priority="1252" stopIfTrue="1">
      <formula>$A2="begin group"</formula>
    </cfRule>
  </conditionalFormatting>
  <conditionalFormatting sqref="A2">
    <cfRule type="expression" dxfId="1885" priority="1227" stopIfTrue="1">
      <formula>$A2="image"</formula>
    </cfRule>
    <cfRule type="expression" dxfId="1884" priority="1229" stopIfTrue="1">
      <formula>OR($A2="date", $A2="datetime", $A2="time")</formula>
    </cfRule>
    <cfRule type="expression" dxfId="1883" priority="1240" stopIfTrue="1">
      <formula>OR(AND(LEFT($A2, 16)="select_multiple ", LEN($A2)&gt;16, NOT(ISNUMBER(SEARCH(" ", $A2, 17)))), AND(LEFT($A2, 11)="select_one ", LEN($A2)&gt;11, NOT(ISNUMBER(SEARCH(" ", $A2, 12)))))</formula>
    </cfRule>
  </conditionalFormatting>
  <conditionalFormatting sqref="A2">
    <cfRule type="expression" dxfId="1882" priority="1249" stopIfTrue="1">
      <formula>$A2="begin repeat"</formula>
    </cfRule>
  </conditionalFormatting>
  <conditionalFormatting sqref="A2">
    <cfRule type="expression" dxfId="1881" priority="1219" stopIfTrue="1">
      <formula>$A2="file"</formula>
    </cfRule>
    <cfRule type="expression" dxfId="1880" priority="1225" stopIfTrue="1">
      <formula>OR($A2="audio", $A2="video")</formula>
    </cfRule>
    <cfRule type="expression" dxfId="1879" priority="1232" stopIfTrue="1">
      <formula>$A2="note"</formula>
    </cfRule>
    <cfRule type="expression" dxfId="1878" priority="1234" stopIfTrue="1">
      <formula>$A2="barcode"</formula>
    </cfRule>
    <cfRule type="expression" dxfId="1877" priority="1236" stopIfTrue="1">
      <formula>OR($A2="geopoint", $A2="geoshape", $A2="geotrace")</formula>
    </cfRule>
  </conditionalFormatting>
  <conditionalFormatting sqref="A2:B2">
    <cfRule type="expression" dxfId="1876" priority="1221" stopIfTrue="1">
      <formula>$A2="enumerator"</formula>
    </cfRule>
    <cfRule type="expression" dxfId="1875" priority="1246" stopIfTrue="1">
      <formula>$A2="text"</formula>
    </cfRule>
  </conditionalFormatting>
  <conditionalFormatting sqref="A2:B2">
    <cfRule type="expression" dxfId="1874" priority="1242" stopIfTrue="1">
      <formula>$A2="decimal"</formula>
    </cfRule>
    <cfRule type="expression" dxfId="1873" priority="1244" stopIfTrue="1">
      <formula>$A2="integer"</formula>
    </cfRule>
  </conditionalFormatting>
  <conditionalFormatting sqref="A2:B2">
    <cfRule type="containsText" dxfId="1872" priority="1217" operator="containsText" text="old">
      <formula>NOT(ISERROR(SEARCH("old",A2)))</formula>
    </cfRule>
    <cfRule type="containsText" dxfId="1871" priority="1218" operator="containsText" text="integer">
      <formula>NOT(ISERROR(SEARCH("integer",A2)))</formula>
    </cfRule>
  </conditionalFormatting>
  <conditionalFormatting sqref="A2:B2">
    <cfRule type="containsText" dxfId="1870" priority="1215" operator="containsText" text="dur">
      <formula>NOT(ISERROR(SEARCH("dur",A2)))</formula>
    </cfRule>
    <cfRule type="containsText" dxfId="1869" priority="1216" operator="containsText" text="group">
      <formula>NOT(ISERROR(SEARCH("group",A2)))</formula>
    </cfRule>
  </conditionalFormatting>
  <conditionalFormatting sqref="A3:C3">
    <cfRule type="expression" dxfId="1868" priority="1185" stopIfTrue="1">
      <formula>$A3="comments"</formula>
    </cfRule>
  </conditionalFormatting>
  <conditionalFormatting sqref="A3:C3">
    <cfRule type="expression" dxfId="1867" priority="1181" stopIfTrue="1">
      <formula>$A3="file"</formula>
    </cfRule>
    <cfRule type="expression" dxfId="1866" priority="1187" stopIfTrue="1">
      <formula>OR($A3="audio", $A3="video")</formula>
    </cfRule>
    <cfRule type="expression" dxfId="1865" priority="1194" stopIfTrue="1">
      <formula>$A3="note"</formula>
    </cfRule>
    <cfRule type="expression" dxfId="1864" priority="1196" stopIfTrue="1">
      <formula>$A3="barcode"</formula>
    </cfRule>
    <cfRule type="expression" dxfId="1863" priority="1198" stopIfTrue="1">
      <formula>OR($A3="geopoint", $A3="geoshape", $A3="geotrace")</formula>
    </cfRule>
  </conditionalFormatting>
  <conditionalFormatting sqref="A3:C3">
    <cfRule type="expression" dxfId="1862" priority="1184" stopIfTrue="1">
      <formula>OR(AND(LEFT($A3, 14)="sensor_stream ", LEN($A3)&gt;14, NOT(ISNUMBER(SEARCH(" ", $A3, 15)))), AND(LEFT($A3, 17)="sensor_statistic ", LEN($A3)&gt;17, NOT(ISNUMBER(SEARCH(" ", $A3, 18)))))</formula>
    </cfRule>
    <cfRule type="expression" dxfId="1861" priority="1199" stopIfTrue="1">
      <formula>OR($A3="audio audit", $A3="text audit", $A3="speed violations count", $A3="speed violations list", $A3="speed violations audit")</formula>
    </cfRule>
  </conditionalFormatting>
  <conditionalFormatting sqref="A3:C3">
    <cfRule type="expression" dxfId="1860" priority="1192" stopIfTrue="1">
      <formula>OR($A3="calculate", $A3="calculate_here")</formula>
    </cfRule>
  </conditionalFormatting>
  <conditionalFormatting sqref="A3:C3">
    <cfRule type="expression" dxfId="1859" priority="1183" stopIfTrue="1">
      <formula>$A3="enumerator"</formula>
    </cfRule>
    <cfRule type="expression" dxfId="1858" priority="1189" stopIfTrue="1">
      <formula>$A3="image"</formula>
    </cfRule>
    <cfRule type="expression" dxfId="1857" priority="1191" stopIfTrue="1">
      <formula>OR($A3="date", $A3="datetime", $A3="time")</formula>
    </cfRule>
    <cfRule type="expression" dxfId="1856" priority="1202" stopIfTrue="1">
      <formula>OR(AND(LEFT($A3, 16)="select_multiple ", LEN($A3)&gt;16, NOT(ISNUMBER(SEARCH(" ", $A3, 17)))), AND(LEFT($A3, 11)="select_one ", LEN($A3)&gt;11, NOT(ISNUMBER(SEARCH(" ", $A3, 12)))))</formula>
    </cfRule>
    <cfRule type="expression" dxfId="1855" priority="1204" stopIfTrue="1">
      <formula>$A3="decimal"</formula>
    </cfRule>
    <cfRule type="expression" dxfId="1854" priority="1206" stopIfTrue="1">
      <formula>$A3="integer"</formula>
    </cfRule>
    <cfRule type="expression" dxfId="1853" priority="1208" stopIfTrue="1">
      <formula>$A3="text"</formula>
    </cfRule>
    <cfRule type="expression" dxfId="1852" priority="1214" stopIfTrue="1">
      <formula>$A3="begin group"</formula>
    </cfRule>
  </conditionalFormatting>
  <conditionalFormatting sqref="A3:C3">
    <cfRule type="expression" dxfId="1851" priority="1200" stopIfTrue="1">
      <formula>OR($A3="username", $A3="phonenumber", $A3="start", $A3="end", $A3="deviceid", $A3="subscriberid", $A3="simserial", $A3="caseid")</formula>
    </cfRule>
    <cfRule type="expression" dxfId="1850" priority="1209" stopIfTrue="1">
      <formula>$A3="end repeat"</formula>
    </cfRule>
    <cfRule type="expression" dxfId="1849" priority="1211" stopIfTrue="1">
      <formula>$A3="begin repeat"</formula>
    </cfRule>
    <cfRule type="expression" dxfId="1848" priority="1212" stopIfTrue="1">
      <formula>$A3="end group"</formula>
    </cfRule>
  </conditionalFormatting>
  <conditionalFormatting sqref="A3">
    <cfRule type="expression" dxfId="1847" priority="1213" stopIfTrue="1">
      <formula>$A3="begin group"</formula>
    </cfRule>
  </conditionalFormatting>
  <conditionalFormatting sqref="A3">
    <cfRule type="expression" dxfId="1846" priority="1188" stopIfTrue="1">
      <formula>$A3="image"</formula>
    </cfRule>
    <cfRule type="expression" dxfId="1845" priority="1190" stopIfTrue="1">
      <formula>OR($A3="date", $A3="datetime", $A3="time")</formula>
    </cfRule>
    <cfRule type="expression" dxfId="1844" priority="1201" stopIfTrue="1">
      <formula>OR(AND(LEFT($A3, 16)="select_multiple ", LEN($A3)&gt;16, NOT(ISNUMBER(SEARCH(" ", $A3, 17)))), AND(LEFT($A3, 11)="select_one ", LEN($A3)&gt;11, NOT(ISNUMBER(SEARCH(" ", $A3, 12)))))</formula>
    </cfRule>
  </conditionalFormatting>
  <conditionalFormatting sqref="A3">
    <cfRule type="expression" dxfId="1843" priority="1210" stopIfTrue="1">
      <formula>$A3="begin repeat"</formula>
    </cfRule>
  </conditionalFormatting>
  <conditionalFormatting sqref="A3">
    <cfRule type="expression" dxfId="1842" priority="1180" stopIfTrue="1">
      <formula>$A3="file"</formula>
    </cfRule>
    <cfRule type="expression" dxfId="1841" priority="1186" stopIfTrue="1">
      <formula>OR($A3="audio", $A3="video")</formula>
    </cfRule>
    <cfRule type="expression" dxfId="1840" priority="1193" stopIfTrue="1">
      <formula>$A3="note"</formula>
    </cfRule>
    <cfRule type="expression" dxfId="1839" priority="1195" stopIfTrue="1">
      <formula>$A3="barcode"</formula>
    </cfRule>
    <cfRule type="expression" dxfId="1838" priority="1197" stopIfTrue="1">
      <formula>OR($A3="geopoint", $A3="geoshape", $A3="geotrace")</formula>
    </cfRule>
  </conditionalFormatting>
  <conditionalFormatting sqref="A3:C3">
    <cfRule type="expression" dxfId="1837" priority="1182" stopIfTrue="1">
      <formula>$A3="enumerator"</formula>
    </cfRule>
    <cfRule type="expression" dxfId="1836" priority="1207" stopIfTrue="1">
      <formula>$A3="text"</formula>
    </cfRule>
  </conditionalFormatting>
  <conditionalFormatting sqref="A3:C3">
    <cfRule type="expression" dxfId="1835" priority="1203" stopIfTrue="1">
      <formula>$A3="decimal"</formula>
    </cfRule>
    <cfRule type="expression" dxfId="1834" priority="1205" stopIfTrue="1">
      <formula>$A3="integer"</formula>
    </cfRule>
  </conditionalFormatting>
  <conditionalFormatting sqref="A3:C3">
    <cfRule type="containsText" dxfId="1833" priority="1178" operator="containsText" text="old">
      <formula>NOT(ISERROR(SEARCH("old",A3)))</formula>
    </cfRule>
    <cfRule type="containsText" dxfId="1832" priority="1179" operator="containsText" text="integer">
      <formula>NOT(ISERROR(SEARCH("integer",A3)))</formula>
    </cfRule>
  </conditionalFormatting>
  <conditionalFormatting sqref="A3:C3">
    <cfRule type="containsText" dxfId="1831" priority="1176" operator="containsText" text="dur">
      <formula>NOT(ISERROR(SEARCH("dur",A3)))</formula>
    </cfRule>
    <cfRule type="containsText" dxfId="1830" priority="1177" operator="containsText" text="group">
      <formula>NOT(ISERROR(SEARCH("group",A3)))</formula>
    </cfRule>
  </conditionalFormatting>
  <conditionalFormatting sqref="C3">
    <cfRule type="expression" dxfId="1829" priority="1175" stopIfTrue="1">
      <formula>$A3="begin group"</formula>
    </cfRule>
  </conditionalFormatting>
  <conditionalFormatting sqref="C3">
    <cfRule type="expression" dxfId="1828" priority="1168" stopIfTrue="1">
      <formula>$A3="image"</formula>
    </cfRule>
    <cfRule type="expression" dxfId="1827" priority="1169" stopIfTrue="1">
      <formula>OR($A3="date", $A3="datetime", $A3="time")</formula>
    </cfRule>
    <cfRule type="expression" dxfId="1826" priority="1173" stopIfTrue="1">
      <formula>OR(AND(LEFT($A3, 16)="select_multiple ", LEN($A3)&gt;16, NOT(ISNUMBER(SEARCH(" ", $A3, 17)))), AND(LEFT($A3, 11)="select_one ", LEN($A3)&gt;11, NOT(ISNUMBER(SEARCH(" ", $A3, 12)))))</formula>
    </cfRule>
  </conditionalFormatting>
  <conditionalFormatting sqref="C3">
    <cfRule type="expression" dxfId="1825" priority="1174" stopIfTrue="1">
      <formula>$A3="begin repeat"</formula>
    </cfRule>
  </conditionalFormatting>
  <conditionalFormatting sqref="C3">
    <cfRule type="expression" dxfId="1824" priority="1166" stopIfTrue="1">
      <formula>$A3="file"</formula>
    </cfRule>
    <cfRule type="expression" dxfId="1823" priority="1167" stopIfTrue="1">
      <formula>OR($A3="audio", $A3="video")</formula>
    </cfRule>
    <cfRule type="expression" dxfId="1822" priority="1170" stopIfTrue="1">
      <formula>$A3="note"</formula>
    </cfRule>
    <cfRule type="expression" dxfId="1821" priority="1171" stopIfTrue="1">
      <formula>$A3="barcode"</formula>
    </cfRule>
    <cfRule type="expression" dxfId="1820" priority="1172" stopIfTrue="1">
      <formula>OR($A3="geopoint", $A3="geoshape", $A3="geotrace")</formula>
    </cfRule>
  </conditionalFormatting>
  <conditionalFormatting sqref="A4:C4">
    <cfRule type="expression" dxfId="1819" priority="1136" stopIfTrue="1">
      <formula>$A4="comments"</formula>
    </cfRule>
  </conditionalFormatting>
  <conditionalFormatting sqref="A4:C4">
    <cfRule type="expression" dxfId="1818" priority="1132" stopIfTrue="1">
      <formula>$A4="file"</formula>
    </cfRule>
    <cfRule type="expression" dxfId="1817" priority="1138" stopIfTrue="1">
      <formula>OR($A4="audio", $A4="video")</formula>
    </cfRule>
    <cfRule type="expression" dxfId="1816" priority="1145" stopIfTrue="1">
      <formula>$A4="note"</formula>
    </cfRule>
    <cfRule type="expression" dxfId="1815" priority="1147" stopIfTrue="1">
      <formula>$A4="barcode"</formula>
    </cfRule>
    <cfRule type="expression" dxfId="1814" priority="1149" stopIfTrue="1">
      <formula>OR($A4="geopoint", $A4="geoshape", $A4="geotrace")</formula>
    </cfRule>
  </conditionalFormatting>
  <conditionalFormatting sqref="A4:C4">
    <cfRule type="expression" dxfId="1813" priority="1135" stopIfTrue="1">
      <formula>OR(AND(LEFT($A4, 14)="sensor_stream ", LEN($A4)&gt;14, NOT(ISNUMBER(SEARCH(" ", $A4, 15)))), AND(LEFT($A4, 17)="sensor_statistic ", LEN($A4)&gt;17, NOT(ISNUMBER(SEARCH(" ", $A4, 18)))))</formula>
    </cfRule>
    <cfRule type="expression" dxfId="1812" priority="1150" stopIfTrue="1">
      <formula>OR($A4="audio audit", $A4="text audit", $A4="speed violations count", $A4="speed violations list", $A4="speed violations audit")</formula>
    </cfRule>
  </conditionalFormatting>
  <conditionalFormatting sqref="A4:C4">
    <cfRule type="expression" dxfId="1811" priority="1143" stopIfTrue="1">
      <formula>OR($A4="calculate", $A4="calculate_here")</formula>
    </cfRule>
  </conditionalFormatting>
  <conditionalFormatting sqref="A4:C4">
    <cfRule type="expression" dxfId="1810" priority="1134" stopIfTrue="1">
      <formula>$A4="enumerator"</formula>
    </cfRule>
    <cfRule type="expression" dxfId="1809" priority="1140" stopIfTrue="1">
      <formula>$A4="image"</formula>
    </cfRule>
    <cfRule type="expression" dxfId="1808" priority="1142" stopIfTrue="1">
      <formula>OR($A4="date", $A4="datetime", $A4="time")</formula>
    </cfRule>
    <cfRule type="expression" dxfId="1807" priority="1153" stopIfTrue="1">
      <formula>OR(AND(LEFT($A4, 16)="select_multiple ", LEN($A4)&gt;16, NOT(ISNUMBER(SEARCH(" ", $A4, 17)))), AND(LEFT($A4, 11)="select_one ", LEN($A4)&gt;11, NOT(ISNUMBER(SEARCH(" ", $A4, 12)))))</formula>
    </cfRule>
    <cfRule type="expression" dxfId="1806" priority="1155" stopIfTrue="1">
      <formula>$A4="decimal"</formula>
    </cfRule>
    <cfRule type="expression" dxfId="1805" priority="1157" stopIfTrue="1">
      <formula>$A4="integer"</formula>
    </cfRule>
    <cfRule type="expression" dxfId="1804" priority="1159" stopIfTrue="1">
      <formula>$A4="text"</formula>
    </cfRule>
    <cfRule type="expression" dxfId="1803" priority="1165" stopIfTrue="1">
      <formula>$A4="begin group"</formula>
    </cfRule>
  </conditionalFormatting>
  <conditionalFormatting sqref="A4:C4">
    <cfRule type="expression" dxfId="1802" priority="1151" stopIfTrue="1">
      <formula>OR($A4="username", $A4="phonenumber", $A4="start", $A4="end", $A4="deviceid", $A4="subscriberid", $A4="simserial", $A4="caseid")</formula>
    </cfRule>
    <cfRule type="expression" dxfId="1801" priority="1160" stopIfTrue="1">
      <formula>$A4="end repeat"</formula>
    </cfRule>
    <cfRule type="expression" dxfId="1800" priority="1162" stopIfTrue="1">
      <formula>$A4="begin repeat"</formula>
    </cfRule>
    <cfRule type="expression" dxfId="1799" priority="1163" stopIfTrue="1">
      <formula>$A4="end group"</formula>
    </cfRule>
  </conditionalFormatting>
  <conditionalFormatting sqref="A4">
    <cfRule type="expression" dxfId="1798" priority="1164" stopIfTrue="1">
      <formula>$A4="begin group"</formula>
    </cfRule>
  </conditionalFormatting>
  <conditionalFormatting sqref="A4">
    <cfRule type="expression" dxfId="1797" priority="1139" stopIfTrue="1">
      <formula>$A4="image"</formula>
    </cfRule>
    <cfRule type="expression" dxfId="1796" priority="1141" stopIfTrue="1">
      <formula>OR($A4="date", $A4="datetime", $A4="time")</formula>
    </cfRule>
    <cfRule type="expression" dxfId="1795" priority="1152" stopIfTrue="1">
      <formula>OR(AND(LEFT($A4, 16)="select_multiple ", LEN($A4)&gt;16, NOT(ISNUMBER(SEARCH(" ", $A4, 17)))), AND(LEFT($A4, 11)="select_one ", LEN($A4)&gt;11, NOT(ISNUMBER(SEARCH(" ", $A4, 12)))))</formula>
    </cfRule>
  </conditionalFormatting>
  <conditionalFormatting sqref="A4">
    <cfRule type="expression" dxfId="1794" priority="1161" stopIfTrue="1">
      <formula>$A4="begin repeat"</formula>
    </cfRule>
  </conditionalFormatting>
  <conditionalFormatting sqref="A4">
    <cfRule type="expression" dxfId="1793" priority="1131" stopIfTrue="1">
      <formula>$A4="file"</formula>
    </cfRule>
    <cfRule type="expression" dxfId="1792" priority="1137" stopIfTrue="1">
      <formula>OR($A4="audio", $A4="video")</formula>
    </cfRule>
    <cfRule type="expression" dxfId="1791" priority="1144" stopIfTrue="1">
      <formula>$A4="note"</formula>
    </cfRule>
    <cfRule type="expression" dxfId="1790" priority="1146" stopIfTrue="1">
      <formula>$A4="barcode"</formula>
    </cfRule>
    <cfRule type="expression" dxfId="1789" priority="1148" stopIfTrue="1">
      <formula>OR($A4="geopoint", $A4="geoshape", $A4="geotrace")</formula>
    </cfRule>
  </conditionalFormatting>
  <conditionalFormatting sqref="A4:C4">
    <cfRule type="expression" dxfId="1788" priority="1133" stopIfTrue="1">
      <formula>$A4="enumerator"</formula>
    </cfRule>
    <cfRule type="expression" dxfId="1787" priority="1158" stopIfTrue="1">
      <formula>$A4="text"</formula>
    </cfRule>
  </conditionalFormatting>
  <conditionalFormatting sqref="A4:C4">
    <cfRule type="expression" dxfId="1786" priority="1154" stopIfTrue="1">
      <formula>$A4="decimal"</formula>
    </cfRule>
    <cfRule type="expression" dxfId="1785" priority="1156" stopIfTrue="1">
      <formula>$A4="integer"</formula>
    </cfRule>
  </conditionalFormatting>
  <conditionalFormatting sqref="A4:C4">
    <cfRule type="containsText" dxfId="1784" priority="1129" operator="containsText" text="old">
      <formula>NOT(ISERROR(SEARCH("old",A4)))</formula>
    </cfRule>
    <cfRule type="containsText" dxfId="1783" priority="1130" operator="containsText" text="integer">
      <formula>NOT(ISERROR(SEARCH("integer",A4)))</formula>
    </cfRule>
  </conditionalFormatting>
  <conditionalFormatting sqref="A4:C4">
    <cfRule type="containsText" dxfId="1782" priority="1127" operator="containsText" text="dur">
      <formula>NOT(ISERROR(SEARCH("dur",A4)))</formula>
    </cfRule>
    <cfRule type="containsText" dxfId="1781" priority="1128" operator="containsText" text="group">
      <formula>NOT(ISERROR(SEARCH("group",A4)))</formula>
    </cfRule>
  </conditionalFormatting>
  <conditionalFormatting sqref="C4">
    <cfRule type="expression" dxfId="1780" priority="1126" stopIfTrue="1">
      <formula>$A4="begin group"</formula>
    </cfRule>
  </conditionalFormatting>
  <conditionalFormatting sqref="C4">
    <cfRule type="expression" dxfId="1779" priority="1119" stopIfTrue="1">
      <formula>$A4="image"</formula>
    </cfRule>
    <cfRule type="expression" dxfId="1778" priority="1120" stopIfTrue="1">
      <formula>OR($A4="date", $A4="datetime", $A4="time")</formula>
    </cfRule>
    <cfRule type="expression" dxfId="1777" priority="1124" stopIfTrue="1">
      <formula>OR(AND(LEFT($A4, 16)="select_multiple ", LEN($A4)&gt;16, NOT(ISNUMBER(SEARCH(" ", $A4, 17)))), AND(LEFT($A4, 11)="select_one ", LEN($A4)&gt;11, NOT(ISNUMBER(SEARCH(" ", $A4, 12)))))</formula>
    </cfRule>
  </conditionalFormatting>
  <conditionalFormatting sqref="C4">
    <cfRule type="expression" dxfId="1776" priority="1125" stopIfTrue="1">
      <formula>$A4="begin repeat"</formula>
    </cfRule>
  </conditionalFormatting>
  <conditionalFormatting sqref="C4">
    <cfRule type="expression" dxfId="1775" priority="1117" stopIfTrue="1">
      <formula>$A4="file"</formula>
    </cfRule>
    <cfRule type="expression" dxfId="1774" priority="1118" stopIfTrue="1">
      <formula>OR($A4="audio", $A4="video")</formula>
    </cfRule>
    <cfRule type="expression" dxfId="1773" priority="1121" stopIfTrue="1">
      <formula>$A4="note"</formula>
    </cfRule>
    <cfRule type="expression" dxfId="1772" priority="1122" stopIfTrue="1">
      <formula>$A4="barcode"</formula>
    </cfRule>
    <cfRule type="expression" dxfId="1771" priority="1123" stopIfTrue="1">
      <formula>OR($A4="geopoint", $A4="geoshape", $A4="geotrace")</formula>
    </cfRule>
  </conditionalFormatting>
  <conditionalFormatting sqref="A5:B5">
    <cfRule type="expression" dxfId="1770" priority="1087" stopIfTrue="1">
      <formula>$A5="comments"</formula>
    </cfRule>
  </conditionalFormatting>
  <conditionalFormatting sqref="A5:B5">
    <cfRule type="expression" dxfId="1769" priority="1083" stopIfTrue="1">
      <formula>$A5="file"</formula>
    </cfRule>
    <cfRule type="expression" dxfId="1768" priority="1089" stopIfTrue="1">
      <formula>OR($A5="audio", $A5="video")</formula>
    </cfRule>
    <cfRule type="expression" dxfId="1767" priority="1096" stopIfTrue="1">
      <formula>$A5="note"</formula>
    </cfRule>
    <cfRule type="expression" dxfId="1766" priority="1098" stopIfTrue="1">
      <formula>$A5="barcode"</formula>
    </cfRule>
    <cfRule type="expression" dxfId="1765" priority="1100" stopIfTrue="1">
      <formula>OR($A5="geopoint", $A5="geoshape", $A5="geotrace")</formula>
    </cfRule>
  </conditionalFormatting>
  <conditionalFormatting sqref="A5:B5">
    <cfRule type="expression" dxfId="1764" priority="1086" stopIfTrue="1">
      <formula>OR(AND(LEFT($A5, 14)="sensor_stream ", LEN($A5)&gt;14, NOT(ISNUMBER(SEARCH(" ", $A5, 15)))), AND(LEFT($A5, 17)="sensor_statistic ", LEN($A5)&gt;17, NOT(ISNUMBER(SEARCH(" ", $A5, 18)))))</formula>
    </cfRule>
    <cfRule type="expression" dxfId="1763" priority="1101" stopIfTrue="1">
      <formula>OR($A5="audio audit", $A5="text audit", $A5="speed violations count", $A5="speed violations list", $A5="speed violations audit")</formula>
    </cfRule>
  </conditionalFormatting>
  <conditionalFormatting sqref="A5:B5">
    <cfRule type="expression" dxfId="1762" priority="1094" stopIfTrue="1">
      <formula>OR($A5="calculate", $A5="calculate_here")</formula>
    </cfRule>
  </conditionalFormatting>
  <conditionalFormatting sqref="A5:B5">
    <cfRule type="expression" dxfId="1761" priority="1085" stopIfTrue="1">
      <formula>$A5="enumerator"</formula>
    </cfRule>
    <cfRule type="expression" dxfId="1760" priority="1091" stopIfTrue="1">
      <formula>$A5="image"</formula>
    </cfRule>
    <cfRule type="expression" dxfId="1759" priority="1093" stopIfTrue="1">
      <formula>OR($A5="date", $A5="datetime", $A5="time")</formula>
    </cfRule>
    <cfRule type="expression" dxfId="1758" priority="1104" stopIfTrue="1">
      <formula>OR(AND(LEFT($A5, 16)="select_multiple ", LEN($A5)&gt;16, NOT(ISNUMBER(SEARCH(" ", $A5, 17)))), AND(LEFT($A5, 11)="select_one ", LEN($A5)&gt;11, NOT(ISNUMBER(SEARCH(" ", $A5, 12)))))</formula>
    </cfRule>
    <cfRule type="expression" dxfId="1757" priority="1106" stopIfTrue="1">
      <formula>$A5="decimal"</formula>
    </cfRule>
    <cfRule type="expression" dxfId="1756" priority="1108" stopIfTrue="1">
      <formula>$A5="integer"</formula>
    </cfRule>
    <cfRule type="expression" dxfId="1755" priority="1110" stopIfTrue="1">
      <formula>$A5="text"</formula>
    </cfRule>
    <cfRule type="expression" dxfId="1754" priority="1116" stopIfTrue="1">
      <formula>$A5="begin group"</formula>
    </cfRule>
  </conditionalFormatting>
  <conditionalFormatting sqref="A5:B5">
    <cfRule type="expression" dxfId="1753" priority="1102" stopIfTrue="1">
      <formula>OR($A5="username", $A5="phonenumber", $A5="start", $A5="end", $A5="deviceid", $A5="subscriberid", $A5="simserial", $A5="caseid")</formula>
    </cfRule>
    <cfRule type="expression" dxfId="1752" priority="1111" stopIfTrue="1">
      <formula>$A5="end repeat"</formula>
    </cfRule>
    <cfRule type="expression" dxfId="1751" priority="1113" stopIfTrue="1">
      <formula>$A5="begin repeat"</formula>
    </cfRule>
    <cfRule type="expression" dxfId="1750" priority="1114" stopIfTrue="1">
      <formula>$A5="end group"</formula>
    </cfRule>
  </conditionalFormatting>
  <conditionalFormatting sqref="A5">
    <cfRule type="expression" dxfId="1749" priority="1115" stopIfTrue="1">
      <formula>$A5="begin group"</formula>
    </cfRule>
  </conditionalFormatting>
  <conditionalFormatting sqref="A5">
    <cfRule type="expression" dxfId="1748" priority="1090" stopIfTrue="1">
      <formula>$A5="image"</formula>
    </cfRule>
    <cfRule type="expression" dxfId="1747" priority="1092" stopIfTrue="1">
      <formula>OR($A5="date", $A5="datetime", $A5="time")</formula>
    </cfRule>
    <cfRule type="expression" dxfId="1746" priority="1103" stopIfTrue="1">
      <formula>OR(AND(LEFT($A5, 16)="select_multiple ", LEN($A5)&gt;16, NOT(ISNUMBER(SEARCH(" ", $A5, 17)))), AND(LEFT($A5, 11)="select_one ", LEN($A5)&gt;11, NOT(ISNUMBER(SEARCH(" ", $A5, 12)))))</formula>
    </cfRule>
  </conditionalFormatting>
  <conditionalFormatting sqref="A5">
    <cfRule type="expression" dxfId="1745" priority="1112" stopIfTrue="1">
      <formula>$A5="begin repeat"</formula>
    </cfRule>
  </conditionalFormatting>
  <conditionalFormatting sqref="A5">
    <cfRule type="expression" dxfId="1744" priority="1082" stopIfTrue="1">
      <formula>$A5="file"</formula>
    </cfRule>
    <cfRule type="expression" dxfId="1743" priority="1088" stopIfTrue="1">
      <formula>OR($A5="audio", $A5="video")</formula>
    </cfRule>
    <cfRule type="expression" dxfId="1742" priority="1095" stopIfTrue="1">
      <formula>$A5="note"</formula>
    </cfRule>
    <cfRule type="expression" dxfId="1741" priority="1097" stopIfTrue="1">
      <formula>$A5="barcode"</formula>
    </cfRule>
    <cfRule type="expression" dxfId="1740" priority="1099" stopIfTrue="1">
      <formula>OR($A5="geopoint", $A5="geoshape", $A5="geotrace")</formula>
    </cfRule>
  </conditionalFormatting>
  <conditionalFormatting sqref="A5:B5">
    <cfRule type="expression" dxfId="1739" priority="1084" stopIfTrue="1">
      <formula>$A5="enumerator"</formula>
    </cfRule>
    <cfRule type="expression" dxfId="1738" priority="1109" stopIfTrue="1">
      <formula>$A5="text"</formula>
    </cfRule>
  </conditionalFormatting>
  <conditionalFormatting sqref="A5:B5">
    <cfRule type="expression" dxfId="1737" priority="1105" stopIfTrue="1">
      <formula>$A5="decimal"</formula>
    </cfRule>
    <cfRule type="expression" dxfId="1736" priority="1107" stopIfTrue="1">
      <formula>$A5="integer"</formula>
    </cfRule>
  </conditionalFormatting>
  <conditionalFormatting sqref="A5:B5">
    <cfRule type="containsText" dxfId="1735" priority="1080" operator="containsText" text="old">
      <formula>NOT(ISERROR(SEARCH("old",A5)))</formula>
    </cfRule>
    <cfRule type="containsText" dxfId="1734" priority="1081" operator="containsText" text="integer">
      <formula>NOT(ISERROR(SEARCH("integer",A5)))</formula>
    </cfRule>
  </conditionalFormatting>
  <conditionalFormatting sqref="A5:B5">
    <cfRule type="containsText" dxfId="1733" priority="1078" operator="containsText" text="dur">
      <formula>NOT(ISERROR(SEARCH("dur",A5)))</formula>
    </cfRule>
    <cfRule type="containsText" dxfId="1732" priority="1079" operator="containsText" text="group">
      <formula>NOT(ISERROR(SEARCH("group",A5)))</formula>
    </cfRule>
  </conditionalFormatting>
  <conditionalFormatting sqref="C5">
    <cfRule type="expression" dxfId="1731" priority="1058" stopIfTrue="1">
      <formula>$A5="comments"</formula>
    </cfRule>
  </conditionalFormatting>
  <conditionalFormatting sqref="C5">
    <cfRule type="expression" dxfId="1730" priority="1055" stopIfTrue="1">
      <formula>$A5="file"</formula>
    </cfRule>
    <cfRule type="expression" dxfId="1729" priority="1059" stopIfTrue="1">
      <formula>OR($A5="audio", $A5="video")</formula>
    </cfRule>
    <cfRule type="expression" dxfId="1728" priority="1063" stopIfTrue="1">
      <formula>$A5="note"</formula>
    </cfRule>
    <cfRule type="expression" dxfId="1727" priority="1064" stopIfTrue="1">
      <formula>$A5="barcode"</formula>
    </cfRule>
    <cfRule type="expression" dxfId="1726" priority="1065" stopIfTrue="1">
      <formula>OR($A5="geopoint", $A5="geoshape", $A5="geotrace")</formula>
    </cfRule>
  </conditionalFormatting>
  <conditionalFormatting sqref="C5">
    <cfRule type="expression" dxfId="1725" priority="1057" stopIfTrue="1">
      <formula>OR(AND(LEFT($A5, 14)="sensor_stream ", LEN($A5)&gt;14, NOT(ISNUMBER(SEARCH(" ", $A5, 15)))), AND(LEFT($A5, 17)="sensor_statistic ", LEN($A5)&gt;17, NOT(ISNUMBER(SEARCH(" ", $A5, 18)))))</formula>
    </cfRule>
    <cfRule type="expression" dxfId="1724" priority="1066" stopIfTrue="1">
      <formula>OR($A5="audio audit", $A5="text audit", $A5="speed violations count", $A5="speed violations list", $A5="speed violations audit")</formula>
    </cfRule>
  </conditionalFormatting>
  <conditionalFormatting sqref="C5">
    <cfRule type="expression" dxfId="1723" priority="1062" stopIfTrue="1">
      <formula>OR($A5="calculate", $A5="calculate_here")</formula>
    </cfRule>
  </conditionalFormatting>
  <conditionalFormatting sqref="C5">
    <cfRule type="expression" dxfId="1722" priority="1056" stopIfTrue="1">
      <formula>$A5="enumerator"</formula>
    </cfRule>
    <cfRule type="expression" dxfId="1721" priority="1060" stopIfTrue="1">
      <formula>$A5="image"</formula>
    </cfRule>
    <cfRule type="expression" dxfId="1720" priority="1061" stopIfTrue="1">
      <formula>OR($A5="date", $A5="datetime", $A5="time")</formula>
    </cfRule>
    <cfRule type="expression" dxfId="1719" priority="1068" stopIfTrue="1">
      <formula>OR(AND(LEFT($A5, 16)="select_multiple ", LEN($A5)&gt;16, NOT(ISNUMBER(SEARCH(" ", $A5, 17)))), AND(LEFT($A5, 11)="select_one ", LEN($A5)&gt;11, NOT(ISNUMBER(SEARCH(" ", $A5, 12)))))</formula>
    </cfRule>
    <cfRule type="expression" dxfId="1718" priority="1070" stopIfTrue="1">
      <formula>$A5="decimal"</formula>
    </cfRule>
    <cfRule type="expression" dxfId="1717" priority="1072" stopIfTrue="1">
      <formula>$A5="integer"</formula>
    </cfRule>
    <cfRule type="expression" dxfId="1716" priority="1073" stopIfTrue="1">
      <formula>$A5="text"</formula>
    </cfRule>
    <cfRule type="expression" dxfId="1715" priority="1077" stopIfTrue="1">
      <formula>$A5="begin group"</formula>
    </cfRule>
  </conditionalFormatting>
  <conditionalFormatting sqref="C5">
    <cfRule type="expression" dxfId="1714" priority="1067" stopIfTrue="1">
      <formula>OR($A5="username", $A5="phonenumber", $A5="start", $A5="end", $A5="deviceid", $A5="subscriberid", $A5="simserial", $A5="caseid")</formula>
    </cfRule>
    <cfRule type="expression" dxfId="1713" priority="1074" stopIfTrue="1">
      <formula>$A5="end repeat"</formula>
    </cfRule>
    <cfRule type="expression" dxfId="1712" priority="1075" stopIfTrue="1">
      <formula>$A5="begin repeat"</formula>
    </cfRule>
    <cfRule type="expression" dxfId="1711" priority="1076" stopIfTrue="1">
      <formula>$A5="end group"</formula>
    </cfRule>
  </conditionalFormatting>
  <conditionalFormatting sqref="C5">
    <cfRule type="expression" dxfId="1710" priority="1069" stopIfTrue="1">
      <formula>$A5="decimal"</formula>
    </cfRule>
    <cfRule type="expression" dxfId="1709" priority="1071" stopIfTrue="1">
      <formula>$A5="integer"</formula>
    </cfRule>
  </conditionalFormatting>
  <conditionalFormatting sqref="C5">
    <cfRule type="containsText" dxfId="1708" priority="1053" operator="containsText" text="old">
      <formula>NOT(ISERROR(SEARCH("old",C5)))</formula>
    </cfRule>
    <cfRule type="containsText" dxfId="1707" priority="1054" operator="containsText" text="integer">
      <formula>NOT(ISERROR(SEARCH("integer",C5)))</formula>
    </cfRule>
  </conditionalFormatting>
  <conditionalFormatting sqref="C5">
    <cfRule type="containsText" dxfId="1706" priority="1051" operator="containsText" text="dur">
      <formula>NOT(ISERROR(SEARCH("dur",C5)))</formula>
    </cfRule>
    <cfRule type="containsText" dxfId="1705" priority="1052" operator="containsText" text="group">
      <formula>NOT(ISERROR(SEARCH("group",C5)))</formula>
    </cfRule>
  </conditionalFormatting>
  <conditionalFormatting sqref="C6">
    <cfRule type="expression" dxfId="1704" priority="992" stopIfTrue="1">
      <formula>$A6="comments"</formula>
    </cfRule>
  </conditionalFormatting>
  <conditionalFormatting sqref="C6">
    <cfRule type="expression" dxfId="1703" priority="989" stopIfTrue="1">
      <formula>$A6="file"</formula>
    </cfRule>
    <cfRule type="expression" dxfId="1702" priority="993" stopIfTrue="1">
      <formula>OR($A6="audio", $A6="video")</formula>
    </cfRule>
    <cfRule type="expression" dxfId="1701" priority="997" stopIfTrue="1">
      <formula>$A6="note"</formula>
    </cfRule>
    <cfRule type="expression" dxfId="1700" priority="998" stopIfTrue="1">
      <formula>$A6="barcode"</formula>
    </cfRule>
    <cfRule type="expression" dxfId="1699" priority="999" stopIfTrue="1">
      <formula>OR($A6="geopoint", $A6="geoshape", $A6="geotrace")</formula>
    </cfRule>
  </conditionalFormatting>
  <conditionalFormatting sqref="C6">
    <cfRule type="expression" dxfId="1698" priority="991" stopIfTrue="1">
      <formula>OR(AND(LEFT($A6, 14)="sensor_stream ", LEN($A6)&gt;14, NOT(ISNUMBER(SEARCH(" ", $A6, 15)))), AND(LEFT($A6, 17)="sensor_statistic ", LEN($A6)&gt;17, NOT(ISNUMBER(SEARCH(" ", $A6, 18)))))</formula>
    </cfRule>
    <cfRule type="expression" dxfId="1697" priority="1000" stopIfTrue="1">
      <formula>OR($A6="audio audit", $A6="text audit", $A6="speed violations count", $A6="speed violations list", $A6="speed violations audit")</formula>
    </cfRule>
  </conditionalFormatting>
  <conditionalFormatting sqref="C6">
    <cfRule type="expression" dxfId="1696" priority="996" stopIfTrue="1">
      <formula>OR($A6="calculate", $A6="calculate_here")</formula>
    </cfRule>
  </conditionalFormatting>
  <conditionalFormatting sqref="C6">
    <cfRule type="expression" dxfId="1695" priority="990" stopIfTrue="1">
      <formula>$A6="enumerator"</formula>
    </cfRule>
    <cfRule type="expression" dxfId="1694" priority="994" stopIfTrue="1">
      <formula>$A6="image"</formula>
    </cfRule>
    <cfRule type="expression" dxfId="1693" priority="995" stopIfTrue="1">
      <formula>OR($A6="date", $A6="datetime", $A6="time")</formula>
    </cfRule>
    <cfRule type="expression" dxfId="1692" priority="1002" stopIfTrue="1">
      <formula>OR(AND(LEFT($A6, 16)="select_multiple ", LEN($A6)&gt;16, NOT(ISNUMBER(SEARCH(" ", $A6, 17)))), AND(LEFT($A6, 11)="select_one ", LEN($A6)&gt;11, NOT(ISNUMBER(SEARCH(" ", $A6, 12)))))</formula>
    </cfRule>
    <cfRule type="expression" dxfId="1691" priority="1004" stopIfTrue="1">
      <formula>$A6="decimal"</formula>
    </cfRule>
    <cfRule type="expression" dxfId="1690" priority="1006" stopIfTrue="1">
      <formula>$A6="integer"</formula>
    </cfRule>
    <cfRule type="expression" dxfId="1689" priority="1007" stopIfTrue="1">
      <formula>$A6="text"</formula>
    </cfRule>
    <cfRule type="expression" dxfId="1688" priority="1011" stopIfTrue="1">
      <formula>$A6="begin group"</formula>
    </cfRule>
  </conditionalFormatting>
  <conditionalFormatting sqref="C6">
    <cfRule type="expression" dxfId="1687" priority="1001" stopIfTrue="1">
      <formula>OR($A6="username", $A6="phonenumber", $A6="start", $A6="end", $A6="deviceid", $A6="subscriberid", $A6="simserial", $A6="caseid")</formula>
    </cfRule>
    <cfRule type="expression" dxfId="1686" priority="1008" stopIfTrue="1">
      <formula>$A6="end repeat"</formula>
    </cfRule>
    <cfRule type="expression" dxfId="1685" priority="1009" stopIfTrue="1">
      <formula>$A6="begin repeat"</formula>
    </cfRule>
    <cfRule type="expression" dxfId="1684" priority="1010" stopIfTrue="1">
      <formula>$A6="end group"</formula>
    </cfRule>
  </conditionalFormatting>
  <conditionalFormatting sqref="C6">
    <cfRule type="expression" dxfId="1683" priority="1003" stopIfTrue="1">
      <formula>$A6="decimal"</formula>
    </cfRule>
    <cfRule type="expression" dxfId="1682" priority="1005" stopIfTrue="1">
      <formula>$A6="integer"</formula>
    </cfRule>
  </conditionalFormatting>
  <conditionalFormatting sqref="C6">
    <cfRule type="containsText" dxfId="1681" priority="987" operator="containsText" text="old">
      <formula>NOT(ISERROR(SEARCH("old",C6)))</formula>
    </cfRule>
    <cfRule type="containsText" dxfId="1680" priority="988" operator="containsText" text="integer">
      <formula>NOT(ISERROR(SEARCH("integer",C6)))</formula>
    </cfRule>
  </conditionalFormatting>
  <conditionalFormatting sqref="C6">
    <cfRule type="containsText" dxfId="1679" priority="985" operator="containsText" text="dur">
      <formula>NOT(ISERROR(SEARCH("dur",C6)))</formula>
    </cfRule>
    <cfRule type="containsText" dxfId="1678" priority="986" operator="containsText" text="group">
      <formula>NOT(ISERROR(SEARCH("group",C6)))</formula>
    </cfRule>
  </conditionalFormatting>
  <conditionalFormatting sqref="A6:B6">
    <cfRule type="expression" dxfId="1677" priority="955" stopIfTrue="1">
      <formula>$A6="comments"</formula>
    </cfRule>
  </conditionalFormatting>
  <conditionalFormatting sqref="A6:B6">
    <cfRule type="expression" dxfId="1676" priority="951" stopIfTrue="1">
      <formula>$A6="file"</formula>
    </cfRule>
    <cfRule type="expression" dxfId="1675" priority="957" stopIfTrue="1">
      <formula>OR($A6="audio", $A6="video")</formula>
    </cfRule>
    <cfRule type="expression" dxfId="1674" priority="964" stopIfTrue="1">
      <formula>$A6="note"</formula>
    </cfRule>
    <cfRule type="expression" dxfId="1673" priority="966" stopIfTrue="1">
      <formula>$A6="barcode"</formula>
    </cfRule>
    <cfRule type="expression" dxfId="1672" priority="968" stopIfTrue="1">
      <formula>OR($A6="geopoint", $A6="geoshape", $A6="geotrace")</formula>
    </cfRule>
  </conditionalFormatting>
  <conditionalFormatting sqref="A6:B6">
    <cfRule type="expression" dxfId="1671" priority="954" stopIfTrue="1">
      <formula>OR(AND(LEFT($A6, 14)="sensor_stream ", LEN($A6)&gt;14, NOT(ISNUMBER(SEARCH(" ", $A6, 15)))), AND(LEFT($A6, 17)="sensor_statistic ", LEN($A6)&gt;17, NOT(ISNUMBER(SEARCH(" ", $A6, 18)))))</formula>
    </cfRule>
    <cfRule type="expression" dxfId="1670" priority="969" stopIfTrue="1">
      <formula>OR($A6="audio audit", $A6="text audit", $A6="speed violations count", $A6="speed violations list", $A6="speed violations audit")</formula>
    </cfRule>
  </conditionalFormatting>
  <conditionalFormatting sqref="A6:B6">
    <cfRule type="expression" dxfId="1669" priority="962" stopIfTrue="1">
      <formula>OR($A6="calculate", $A6="calculate_here")</formula>
    </cfRule>
  </conditionalFormatting>
  <conditionalFormatting sqref="A6:B6">
    <cfRule type="expression" dxfId="1668" priority="953" stopIfTrue="1">
      <formula>$A6="enumerator"</formula>
    </cfRule>
    <cfRule type="expression" dxfId="1667" priority="959" stopIfTrue="1">
      <formula>$A6="image"</formula>
    </cfRule>
    <cfRule type="expression" dxfId="1666" priority="961" stopIfTrue="1">
      <formula>OR($A6="date", $A6="datetime", $A6="time")</formula>
    </cfRule>
    <cfRule type="expression" dxfId="1665" priority="972" stopIfTrue="1">
      <formula>OR(AND(LEFT($A6, 16)="select_multiple ", LEN($A6)&gt;16, NOT(ISNUMBER(SEARCH(" ", $A6, 17)))), AND(LEFT($A6, 11)="select_one ", LEN($A6)&gt;11, NOT(ISNUMBER(SEARCH(" ", $A6, 12)))))</formula>
    </cfRule>
    <cfRule type="expression" dxfId="1664" priority="974" stopIfTrue="1">
      <formula>$A6="decimal"</formula>
    </cfRule>
    <cfRule type="expression" dxfId="1663" priority="976" stopIfTrue="1">
      <formula>$A6="integer"</formula>
    </cfRule>
    <cfRule type="expression" dxfId="1662" priority="978" stopIfTrue="1">
      <formula>$A6="text"</formula>
    </cfRule>
    <cfRule type="expression" dxfId="1661" priority="984" stopIfTrue="1">
      <formula>$A6="begin group"</formula>
    </cfRule>
  </conditionalFormatting>
  <conditionalFormatting sqref="A6:B6">
    <cfRule type="expression" dxfId="1660" priority="970" stopIfTrue="1">
      <formula>OR($A6="username", $A6="phonenumber", $A6="start", $A6="end", $A6="deviceid", $A6="subscriberid", $A6="simserial", $A6="caseid")</formula>
    </cfRule>
    <cfRule type="expression" dxfId="1659" priority="979" stopIfTrue="1">
      <formula>$A6="end repeat"</formula>
    </cfRule>
    <cfRule type="expression" dxfId="1658" priority="981" stopIfTrue="1">
      <formula>$A6="begin repeat"</formula>
    </cfRule>
    <cfRule type="expression" dxfId="1657" priority="982" stopIfTrue="1">
      <formula>$A6="end group"</formula>
    </cfRule>
  </conditionalFormatting>
  <conditionalFormatting sqref="A6">
    <cfRule type="expression" dxfId="1656" priority="983" stopIfTrue="1">
      <formula>$A6="begin group"</formula>
    </cfRule>
  </conditionalFormatting>
  <conditionalFormatting sqref="A6">
    <cfRule type="expression" dxfId="1655" priority="958" stopIfTrue="1">
      <formula>$A6="image"</formula>
    </cfRule>
    <cfRule type="expression" dxfId="1654" priority="960" stopIfTrue="1">
      <formula>OR($A6="date", $A6="datetime", $A6="time")</formula>
    </cfRule>
    <cfRule type="expression" dxfId="1653" priority="971" stopIfTrue="1">
      <formula>OR(AND(LEFT($A6, 16)="select_multiple ", LEN($A6)&gt;16, NOT(ISNUMBER(SEARCH(" ", $A6, 17)))), AND(LEFT($A6, 11)="select_one ", LEN($A6)&gt;11, NOT(ISNUMBER(SEARCH(" ", $A6, 12)))))</formula>
    </cfRule>
  </conditionalFormatting>
  <conditionalFormatting sqref="A6">
    <cfRule type="expression" dxfId="1652" priority="980" stopIfTrue="1">
      <formula>$A6="begin repeat"</formula>
    </cfRule>
  </conditionalFormatting>
  <conditionalFormatting sqref="A6">
    <cfRule type="expression" dxfId="1651" priority="950" stopIfTrue="1">
      <formula>$A6="file"</formula>
    </cfRule>
    <cfRule type="expression" dxfId="1650" priority="956" stopIfTrue="1">
      <formula>OR($A6="audio", $A6="video")</formula>
    </cfRule>
    <cfRule type="expression" dxfId="1649" priority="963" stopIfTrue="1">
      <formula>$A6="note"</formula>
    </cfRule>
    <cfRule type="expression" dxfId="1648" priority="965" stopIfTrue="1">
      <formula>$A6="barcode"</formula>
    </cfRule>
    <cfRule type="expression" dxfId="1647" priority="967" stopIfTrue="1">
      <formula>OR($A6="geopoint", $A6="geoshape", $A6="geotrace")</formula>
    </cfRule>
  </conditionalFormatting>
  <conditionalFormatting sqref="A6:B6">
    <cfRule type="expression" dxfId="1646" priority="952" stopIfTrue="1">
      <formula>$A6="enumerator"</formula>
    </cfRule>
    <cfRule type="expression" dxfId="1645" priority="977" stopIfTrue="1">
      <formula>$A6="text"</formula>
    </cfRule>
  </conditionalFormatting>
  <conditionalFormatting sqref="A6:B6">
    <cfRule type="expression" dxfId="1644" priority="973" stopIfTrue="1">
      <formula>$A6="decimal"</formula>
    </cfRule>
    <cfRule type="expression" dxfId="1643" priority="975" stopIfTrue="1">
      <formula>$A6="integer"</formula>
    </cfRule>
  </conditionalFormatting>
  <conditionalFormatting sqref="A6:B6">
    <cfRule type="containsText" dxfId="1642" priority="948" operator="containsText" text="old">
      <formula>NOT(ISERROR(SEARCH("old",A6)))</formula>
    </cfRule>
    <cfRule type="containsText" dxfId="1641" priority="949" operator="containsText" text="integer">
      <formula>NOT(ISERROR(SEARCH("integer",A6)))</formula>
    </cfRule>
  </conditionalFormatting>
  <conditionalFormatting sqref="A6:B6">
    <cfRule type="containsText" dxfId="1640" priority="946" operator="containsText" text="dur">
      <formula>NOT(ISERROR(SEARCH("dur",A6)))</formula>
    </cfRule>
    <cfRule type="containsText" dxfId="1639" priority="947" operator="containsText" text="group">
      <formula>NOT(ISERROR(SEARCH("group",A6)))</formula>
    </cfRule>
  </conditionalFormatting>
  <conditionalFormatting sqref="A7:B7">
    <cfRule type="expression" dxfId="1638" priority="916" stopIfTrue="1">
      <formula>$A7="comments"</formula>
    </cfRule>
  </conditionalFormatting>
  <conditionalFormatting sqref="A7:B7">
    <cfRule type="expression" dxfId="1637" priority="912" stopIfTrue="1">
      <formula>$A7="file"</formula>
    </cfRule>
    <cfRule type="expression" dxfId="1636" priority="918" stopIfTrue="1">
      <formula>OR($A7="audio", $A7="video")</formula>
    </cfRule>
    <cfRule type="expression" dxfId="1635" priority="925" stopIfTrue="1">
      <formula>$A7="note"</formula>
    </cfRule>
    <cfRule type="expression" dxfId="1634" priority="927" stopIfTrue="1">
      <formula>$A7="barcode"</formula>
    </cfRule>
    <cfRule type="expression" dxfId="1633" priority="929" stopIfTrue="1">
      <formula>OR($A7="geopoint", $A7="geoshape", $A7="geotrace")</formula>
    </cfRule>
  </conditionalFormatting>
  <conditionalFormatting sqref="A7:B7">
    <cfRule type="expression" dxfId="1632" priority="915" stopIfTrue="1">
      <formula>OR(AND(LEFT($A7, 14)="sensor_stream ", LEN($A7)&gt;14, NOT(ISNUMBER(SEARCH(" ", $A7, 15)))), AND(LEFT($A7, 17)="sensor_statistic ", LEN($A7)&gt;17, NOT(ISNUMBER(SEARCH(" ", $A7, 18)))))</formula>
    </cfRule>
    <cfRule type="expression" dxfId="1631" priority="930" stopIfTrue="1">
      <formula>OR($A7="audio audit", $A7="text audit", $A7="speed violations count", $A7="speed violations list", $A7="speed violations audit")</formula>
    </cfRule>
  </conditionalFormatting>
  <conditionalFormatting sqref="A7:B7">
    <cfRule type="expression" dxfId="1630" priority="923" stopIfTrue="1">
      <formula>OR($A7="calculate", $A7="calculate_here")</formula>
    </cfRule>
  </conditionalFormatting>
  <conditionalFormatting sqref="A7:B7">
    <cfRule type="expression" dxfId="1629" priority="914" stopIfTrue="1">
      <formula>$A7="enumerator"</formula>
    </cfRule>
    <cfRule type="expression" dxfId="1628" priority="920" stopIfTrue="1">
      <formula>$A7="image"</formula>
    </cfRule>
    <cfRule type="expression" dxfId="1627" priority="922" stopIfTrue="1">
      <formula>OR($A7="date", $A7="datetime", $A7="time")</formula>
    </cfRule>
    <cfRule type="expression" dxfId="1626" priority="933" stopIfTrue="1">
      <formula>OR(AND(LEFT($A7, 16)="select_multiple ", LEN($A7)&gt;16, NOT(ISNUMBER(SEARCH(" ", $A7, 17)))), AND(LEFT($A7, 11)="select_one ", LEN($A7)&gt;11, NOT(ISNUMBER(SEARCH(" ", $A7, 12)))))</formula>
    </cfRule>
    <cfRule type="expression" dxfId="1625" priority="935" stopIfTrue="1">
      <formula>$A7="decimal"</formula>
    </cfRule>
    <cfRule type="expression" dxfId="1624" priority="937" stopIfTrue="1">
      <formula>$A7="integer"</formula>
    </cfRule>
    <cfRule type="expression" dxfId="1623" priority="939" stopIfTrue="1">
      <formula>$A7="text"</formula>
    </cfRule>
    <cfRule type="expression" dxfId="1622" priority="945" stopIfTrue="1">
      <formula>$A7="begin group"</formula>
    </cfRule>
  </conditionalFormatting>
  <conditionalFormatting sqref="A7:B7">
    <cfRule type="expression" dxfId="1621" priority="931" stopIfTrue="1">
      <formula>OR($A7="username", $A7="phonenumber", $A7="start", $A7="end", $A7="deviceid", $A7="subscriberid", $A7="simserial", $A7="caseid")</formula>
    </cfRule>
    <cfRule type="expression" dxfId="1620" priority="940" stopIfTrue="1">
      <formula>$A7="end repeat"</formula>
    </cfRule>
    <cfRule type="expression" dxfId="1619" priority="942" stopIfTrue="1">
      <formula>$A7="begin repeat"</formula>
    </cfRule>
    <cfRule type="expression" dxfId="1618" priority="943" stopIfTrue="1">
      <formula>$A7="end group"</formula>
    </cfRule>
  </conditionalFormatting>
  <conditionalFormatting sqref="A7">
    <cfRule type="expression" dxfId="1617" priority="944" stopIfTrue="1">
      <formula>$A7="begin group"</formula>
    </cfRule>
  </conditionalFormatting>
  <conditionalFormatting sqref="A7">
    <cfRule type="expression" dxfId="1616" priority="919" stopIfTrue="1">
      <formula>$A7="image"</formula>
    </cfRule>
    <cfRule type="expression" dxfId="1615" priority="921" stopIfTrue="1">
      <formula>OR($A7="date", $A7="datetime", $A7="time")</formula>
    </cfRule>
    <cfRule type="expression" dxfId="1614" priority="932" stopIfTrue="1">
      <formula>OR(AND(LEFT($A7, 16)="select_multiple ", LEN($A7)&gt;16, NOT(ISNUMBER(SEARCH(" ", $A7, 17)))), AND(LEFT($A7, 11)="select_one ", LEN($A7)&gt;11, NOT(ISNUMBER(SEARCH(" ", $A7, 12)))))</formula>
    </cfRule>
  </conditionalFormatting>
  <conditionalFormatting sqref="A7">
    <cfRule type="expression" dxfId="1613" priority="941" stopIfTrue="1">
      <formula>$A7="begin repeat"</formula>
    </cfRule>
  </conditionalFormatting>
  <conditionalFormatting sqref="A7">
    <cfRule type="expression" dxfId="1612" priority="911" stopIfTrue="1">
      <formula>$A7="file"</formula>
    </cfRule>
    <cfRule type="expression" dxfId="1611" priority="917" stopIfTrue="1">
      <formula>OR($A7="audio", $A7="video")</formula>
    </cfRule>
    <cfRule type="expression" dxfId="1610" priority="924" stopIfTrue="1">
      <formula>$A7="note"</formula>
    </cfRule>
    <cfRule type="expression" dxfId="1609" priority="926" stopIfTrue="1">
      <formula>$A7="barcode"</formula>
    </cfRule>
    <cfRule type="expression" dxfId="1608" priority="928" stopIfTrue="1">
      <formula>OR($A7="geopoint", $A7="geoshape", $A7="geotrace")</formula>
    </cfRule>
  </conditionalFormatting>
  <conditionalFormatting sqref="A7:B7">
    <cfRule type="expression" dxfId="1607" priority="913" stopIfTrue="1">
      <formula>$A7="enumerator"</formula>
    </cfRule>
    <cfRule type="expression" dxfId="1606" priority="938" stopIfTrue="1">
      <formula>$A7="text"</formula>
    </cfRule>
  </conditionalFormatting>
  <conditionalFormatting sqref="A7:B7">
    <cfRule type="expression" dxfId="1605" priority="934" stopIfTrue="1">
      <formula>$A7="decimal"</formula>
    </cfRule>
    <cfRule type="expression" dxfId="1604" priority="936" stopIfTrue="1">
      <formula>$A7="integer"</formula>
    </cfRule>
  </conditionalFormatting>
  <conditionalFormatting sqref="A7:B7">
    <cfRule type="containsText" dxfId="1603" priority="909" operator="containsText" text="old">
      <formula>NOT(ISERROR(SEARCH("old",A7)))</formula>
    </cfRule>
    <cfRule type="containsText" dxfId="1602" priority="910" operator="containsText" text="integer">
      <formula>NOT(ISERROR(SEARCH("integer",A7)))</formula>
    </cfRule>
  </conditionalFormatting>
  <conditionalFormatting sqref="A7:B7">
    <cfRule type="containsText" dxfId="1601" priority="907" operator="containsText" text="dur">
      <formula>NOT(ISERROR(SEARCH("dur",A7)))</formula>
    </cfRule>
    <cfRule type="containsText" dxfId="1600" priority="908" operator="containsText" text="group">
      <formula>NOT(ISERROR(SEARCH("group",A7)))</formula>
    </cfRule>
  </conditionalFormatting>
  <conditionalFormatting sqref="C7">
    <cfRule type="expression" dxfId="1599" priority="877" stopIfTrue="1">
      <formula>$A7="comments"</formula>
    </cfRule>
  </conditionalFormatting>
  <conditionalFormatting sqref="C7">
    <cfRule type="expression" dxfId="1598" priority="873" stopIfTrue="1">
      <formula>$A7="file"</formula>
    </cfRule>
    <cfRule type="expression" dxfId="1597" priority="879" stopIfTrue="1">
      <formula>OR($A7="audio", $A7="video")</formula>
    </cfRule>
    <cfRule type="expression" dxfId="1596" priority="886" stopIfTrue="1">
      <formula>$A7="note"</formula>
    </cfRule>
    <cfRule type="expression" dxfId="1595" priority="888" stopIfTrue="1">
      <formula>$A7="barcode"</formula>
    </cfRule>
    <cfRule type="expression" dxfId="1594" priority="890" stopIfTrue="1">
      <formula>OR($A7="geopoint", $A7="geoshape", $A7="geotrace")</formula>
    </cfRule>
  </conditionalFormatting>
  <conditionalFormatting sqref="C7">
    <cfRule type="expression" dxfId="1593" priority="876" stopIfTrue="1">
      <formula>OR(AND(LEFT($A7, 14)="sensor_stream ", LEN($A7)&gt;14, NOT(ISNUMBER(SEARCH(" ", $A7, 15)))), AND(LEFT($A7, 17)="sensor_statistic ", LEN($A7)&gt;17, NOT(ISNUMBER(SEARCH(" ", $A7, 18)))))</formula>
    </cfRule>
    <cfRule type="expression" dxfId="1592" priority="891" stopIfTrue="1">
      <formula>OR($A7="audio audit", $A7="text audit", $A7="speed violations count", $A7="speed violations list", $A7="speed violations audit")</formula>
    </cfRule>
  </conditionalFormatting>
  <conditionalFormatting sqref="C7">
    <cfRule type="expression" dxfId="1591" priority="884" stopIfTrue="1">
      <formula>OR($A7="calculate", $A7="calculate_here")</formula>
    </cfRule>
  </conditionalFormatting>
  <conditionalFormatting sqref="C7">
    <cfRule type="expression" dxfId="1590" priority="875" stopIfTrue="1">
      <formula>$A7="enumerator"</formula>
    </cfRule>
    <cfRule type="expression" dxfId="1589" priority="881" stopIfTrue="1">
      <formula>$A7="image"</formula>
    </cfRule>
    <cfRule type="expression" dxfId="1588" priority="883" stopIfTrue="1">
      <formula>OR($A7="date", $A7="datetime", $A7="time")</formula>
    </cfRule>
    <cfRule type="expression" dxfId="1587" priority="894" stopIfTrue="1">
      <formula>OR(AND(LEFT($A7, 16)="select_multiple ", LEN($A7)&gt;16, NOT(ISNUMBER(SEARCH(" ", $A7, 17)))), AND(LEFT($A7, 11)="select_one ", LEN($A7)&gt;11, NOT(ISNUMBER(SEARCH(" ", $A7, 12)))))</formula>
    </cfRule>
    <cfRule type="expression" dxfId="1586" priority="896" stopIfTrue="1">
      <formula>$A7="decimal"</formula>
    </cfRule>
    <cfRule type="expression" dxfId="1585" priority="898" stopIfTrue="1">
      <formula>$A7="integer"</formula>
    </cfRule>
    <cfRule type="expression" dxfId="1584" priority="900" stopIfTrue="1">
      <formula>$A7="text"</formula>
    </cfRule>
    <cfRule type="expression" dxfId="1583" priority="906" stopIfTrue="1">
      <formula>$A7="begin group"</formula>
    </cfRule>
  </conditionalFormatting>
  <conditionalFormatting sqref="C7">
    <cfRule type="expression" dxfId="1582" priority="892" stopIfTrue="1">
      <formula>OR($A7="username", $A7="phonenumber", $A7="start", $A7="end", $A7="deviceid", $A7="subscriberid", $A7="simserial", $A7="caseid")</formula>
    </cfRule>
    <cfRule type="expression" dxfId="1581" priority="901" stopIfTrue="1">
      <formula>$A7="end repeat"</formula>
    </cfRule>
    <cfRule type="expression" dxfId="1580" priority="903" stopIfTrue="1">
      <formula>$A7="begin repeat"</formula>
    </cfRule>
    <cfRule type="expression" dxfId="1579" priority="904" stopIfTrue="1">
      <formula>$A7="end group"</formula>
    </cfRule>
  </conditionalFormatting>
  <conditionalFormatting sqref="C7">
    <cfRule type="expression" dxfId="1578" priority="905" stopIfTrue="1">
      <formula>$A7="begin group"</formula>
    </cfRule>
  </conditionalFormatting>
  <conditionalFormatting sqref="C7">
    <cfRule type="expression" dxfId="1577" priority="880" stopIfTrue="1">
      <formula>$A7="image"</formula>
    </cfRule>
    <cfRule type="expression" dxfId="1576" priority="882" stopIfTrue="1">
      <formula>OR($A7="date", $A7="datetime", $A7="time")</formula>
    </cfRule>
    <cfRule type="expression" dxfId="1575" priority="893" stopIfTrue="1">
      <formula>OR(AND(LEFT($A7, 16)="select_multiple ", LEN($A7)&gt;16, NOT(ISNUMBER(SEARCH(" ", $A7, 17)))), AND(LEFT($A7, 11)="select_one ", LEN($A7)&gt;11, NOT(ISNUMBER(SEARCH(" ", $A7, 12)))))</formula>
    </cfRule>
  </conditionalFormatting>
  <conditionalFormatting sqref="C7">
    <cfRule type="expression" dxfId="1574" priority="902" stopIfTrue="1">
      <formula>$A7="begin repeat"</formula>
    </cfRule>
  </conditionalFormatting>
  <conditionalFormatting sqref="C7">
    <cfRule type="expression" dxfId="1573" priority="872" stopIfTrue="1">
      <formula>$A7="file"</formula>
    </cfRule>
    <cfRule type="expression" dxfId="1572" priority="878" stopIfTrue="1">
      <formula>OR($A7="audio", $A7="video")</formula>
    </cfRule>
    <cfRule type="expression" dxfId="1571" priority="885" stopIfTrue="1">
      <formula>$A7="note"</formula>
    </cfRule>
    <cfRule type="expression" dxfId="1570" priority="887" stopIfTrue="1">
      <formula>$A7="barcode"</formula>
    </cfRule>
    <cfRule type="expression" dxfId="1569" priority="889" stopIfTrue="1">
      <formula>OR($A7="geopoint", $A7="geoshape", $A7="geotrace")</formula>
    </cfRule>
  </conditionalFormatting>
  <conditionalFormatting sqref="C7">
    <cfRule type="expression" dxfId="1568" priority="874" stopIfTrue="1">
      <formula>$A7="enumerator"</formula>
    </cfRule>
    <cfRule type="expression" dxfId="1567" priority="899" stopIfTrue="1">
      <formula>$A7="text"</formula>
    </cfRule>
  </conditionalFormatting>
  <conditionalFormatting sqref="C7">
    <cfRule type="expression" dxfId="1566" priority="895" stopIfTrue="1">
      <formula>$A7="decimal"</formula>
    </cfRule>
    <cfRule type="expression" dxfId="1565" priority="897" stopIfTrue="1">
      <formula>$A7="integer"</formula>
    </cfRule>
  </conditionalFormatting>
  <conditionalFormatting sqref="C7">
    <cfRule type="containsText" dxfId="1564" priority="870" operator="containsText" text="old">
      <formula>NOT(ISERROR(SEARCH("old",C7)))</formula>
    </cfRule>
    <cfRule type="containsText" dxfId="1563" priority="871" operator="containsText" text="integer">
      <formula>NOT(ISERROR(SEARCH("integer",C7)))</formula>
    </cfRule>
  </conditionalFormatting>
  <conditionalFormatting sqref="C7">
    <cfRule type="containsText" dxfId="1562" priority="868" operator="containsText" text="dur">
      <formula>NOT(ISERROR(SEARCH("dur",C7)))</formula>
    </cfRule>
    <cfRule type="containsText" dxfId="1561" priority="869" operator="containsText" text="group">
      <formula>NOT(ISERROR(SEARCH("group",C7)))</formula>
    </cfRule>
  </conditionalFormatting>
  <conditionalFormatting sqref="A8:B8">
    <cfRule type="expression" dxfId="1560" priority="838" stopIfTrue="1">
      <formula>$A8="comments"</formula>
    </cfRule>
  </conditionalFormatting>
  <conditionalFormatting sqref="A8:B8">
    <cfRule type="expression" dxfId="1559" priority="834" stopIfTrue="1">
      <formula>$A8="file"</formula>
    </cfRule>
    <cfRule type="expression" dxfId="1558" priority="840" stopIfTrue="1">
      <formula>OR($A8="audio", $A8="video")</formula>
    </cfRule>
    <cfRule type="expression" dxfId="1557" priority="847" stopIfTrue="1">
      <formula>$A8="note"</formula>
    </cfRule>
    <cfRule type="expression" dxfId="1556" priority="849" stopIfTrue="1">
      <formula>$A8="barcode"</formula>
    </cfRule>
    <cfRule type="expression" dxfId="1555" priority="851" stopIfTrue="1">
      <formula>OR($A8="geopoint", $A8="geoshape", $A8="geotrace")</formula>
    </cfRule>
  </conditionalFormatting>
  <conditionalFormatting sqref="A8:B8">
    <cfRule type="expression" dxfId="1554" priority="837" stopIfTrue="1">
      <formula>OR(AND(LEFT($A8, 14)="sensor_stream ", LEN($A8)&gt;14, NOT(ISNUMBER(SEARCH(" ", $A8, 15)))), AND(LEFT($A8, 17)="sensor_statistic ", LEN($A8)&gt;17, NOT(ISNUMBER(SEARCH(" ", $A8, 18)))))</formula>
    </cfRule>
    <cfRule type="expression" dxfId="1553" priority="852" stopIfTrue="1">
      <formula>OR($A8="audio audit", $A8="text audit", $A8="speed violations count", $A8="speed violations list", $A8="speed violations audit")</formula>
    </cfRule>
  </conditionalFormatting>
  <conditionalFormatting sqref="A8:B8">
    <cfRule type="expression" dxfId="1552" priority="845" stopIfTrue="1">
      <formula>OR($A8="calculate", $A8="calculate_here")</formula>
    </cfRule>
  </conditionalFormatting>
  <conditionalFormatting sqref="A8:B8">
    <cfRule type="expression" dxfId="1551" priority="836" stopIfTrue="1">
      <formula>$A8="enumerator"</formula>
    </cfRule>
    <cfRule type="expression" dxfId="1550" priority="842" stopIfTrue="1">
      <formula>$A8="image"</formula>
    </cfRule>
    <cfRule type="expression" dxfId="1549" priority="844" stopIfTrue="1">
      <formula>OR($A8="date", $A8="datetime", $A8="time")</formula>
    </cfRule>
    <cfRule type="expression" dxfId="1548" priority="855" stopIfTrue="1">
      <formula>OR(AND(LEFT($A8, 16)="select_multiple ", LEN($A8)&gt;16, NOT(ISNUMBER(SEARCH(" ", $A8, 17)))), AND(LEFT($A8, 11)="select_one ", LEN($A8)&gt;11, NOT(ISNUMBER(SEARCH(" ", $A8, 12)))))</formula>
    </cfRule>
    <cfRule type="expression" dxfId="1547" priority="857" stopIfTrue="1">
      <formula>$A8="decimal"</formula>
    </cfRule>
    <cfRule type="expression" dxfId="1546" priority="859" stopIfTrue="1">
      <formula>$A8="integer"</formula>
    </cfRule>
    <cfRule type="expression" dxfId="1545" priority="861" stopIfTrue="1">
      <formula>$A8="text"</formula>
    </cfRule>
    <cfRule type="expression" dxfId="1544" priority="867" stopIfTrue="1">
      <formula>$A8="begin group"</formula>
    </cfRule>
  </conditionalFormatting>
  <conditionalFormatting sqref="A8:B8">
    <cfRule type="expression" dxfId="1543" priority="853" stopIfTrue="1">
      <formula>OR($A8="username", $A8="phonenumber", $A8="start", $A8="end", $A8="deviceid", $A8="subscriberid", $A8="simserial", $A8="caseid")</formula>
    </cfRule>
    <cfRule type="expression" dxfId="1542" priority="862" stopIfTrue="1">
      <formula>$A8="end repeat"</formula>
    </cfRule>
    <cfRule type="expression" dxfId="1541" priority="864" stopIfTrue="1">
      <formula>$A8="begin repeat"</formula>
    </cfRule>
    <cfRule type="expression" dxfId="1540" priority="865" stopIfTrue="1">
      <formula>$A8="end group"</formula>
    </cfRule>
  </conditionalFormatting>
  <conditionalFormatting sqref="A8">
    <cfRule type="expression" dxfId="1539" priority="866" stopIfTrue="1">
      <formula>$A8="begin group"</formula>
    </cfRule>
  </conditionalFormatting>
  <conditionalFormatting sqref="A8">
    <cfRule type="expression" dxfId="1538" priority="841" stopIfTrue="1">
      <formula>$A8="image"</formula>
    </cfRule>
    <cfRule type="expression" dxfId="1537" priority="843" stopIfTrue="1">
      <formula>OR($A8="date", $A8="datetime", $A8="time")</formula>
    </cfRule>
    <cfRule type="expression" dxfId="1536" priority="854" stopIfTrue="1">
      <formula>OR(AND(LEFT($A8, 16)="select_multiple ", LEN($A8)&gt;16, NOT(ISNUMBER(SEARCH(" ", $A8, 17)))), AND(LEFT($A8, 11)="select_one ", LEN($A8)&gt;11, NOT(ISNUMBER(SEARCH(" ", $A8, 12)))))</formula>
    </cfRule>
  </conditionalFormatting>
  <conditionalFormatting sqref="A8">
    <cfRule type="expression" dxfId="1535" priority="863" stopIfTrue="1">
      <formula>$A8="begin repeat"</formula>
    </cfRule>
  </conditionalFormatting>
  <conditionalFormatting sqref="A8">
    <cfRule type="expression" dxfId="1534" priority="833" stopIfTrue="1">
      <formula>$A8="file"</formula>
    </cfRule>
    <cfRule type="expression" dxfId="1533" priority="839" stopIfTrue="1">
      <formula>OR($A8="audio", $A8="video")</formula>
    </cfRule>
    <cfRule type="expression" dxfId="1532" priority="846" stopIfTrue="1">
      <formula>$A8="note"</formula>
    </cfRule>
    <cfRule type="expression" dxfId="1531" priority="848" stopIfTrue="1">
      <formula>$A8="barcode"</formula>
    </cfRule>
    <cfRule type="expression" dxfId="1530" priority="850" stopIfTrue="1">
      <formula>OR($A8="geopoint", $A8="geoshape", $A8="geotrace")</formula>
    </cfRule>
  </conditionalFormatting>
  <conditionalFormatting sqref="A8:B8">
    <cfRule type="expression" dxfId="1529" priority="835" stopIfTrue="1">
      <formula>$A8="enumerator"</formula>
    </cfRule>
    <cfRule type="expression" dxfId="1528" priority="860" stopIfTrue="1">
      <formula>$A8="text"</formula>
    </cfRule>
  </conditionalFormatting>
  <conditionalFormatting sqref="A8:B8">
    <cfRule type="expression" dxfId="1527" priority="856" stopIfTrue="1">
      <formula>$A8="decimal"</formula>
    </cfRule>
    <cfRule type="expression" dxfId="1526" priority="858" stopIfTrue="1">
      <formula>$A8="integer"</formula>
    </cfRule>
  </conditionalFormatting>
  <conditionalFormatting sqref="A8:B8">
    <cfRule type="containsText" dxfId="1525" priority="831" operator="containsText" text="old">
      <formula>NOT(ISERROR(SEARCH("old",A8)))</formula>
    </cfRule>
    <cfRule type="containsText" dxfId="1524" priority="832" operator="containsText" text="integer">
      <formula>NOT(ISERROR(SEARCH("integer",A8)))</formula>
    </cfRule>
  </conditionalFormatting>
  <conditionalFormatting sqref="A8:B8">
    <cfRule type="containsText" dxfId="1523" priority="829" operator="containsText" text="dur">
      <formula>NOT(ISERROR(SEARCH("dur",A8)))</formula>
    </cfRule>
    <cfRule type="containsText" dxfId="1522" priority="830" operator="containsText" text="group">
      <formula>NOT(ISERROR(SEARCH("group",A8)))</formula>
    </cfRule>
  </conditionalFormatting>
  <conditionalFormatting sqref="A9">
    <cfRule type="expression" dxfId="1521" priority="799" stopIfTrue="1">
      <formula>$A9="comments"</formula>
    </cfRule>
  </conditionalFormatting>
  <conditionalFormatting sqref="A9">
    <cfRule type="expression" dxfId="1520" priority="795" stopIfTrue="1">
      <formula>$A9="file"</formula>
    </cfRule>
    <cfRule type="expression" dxfId="1519" priority="801" stopIfTrue="1">
      <formula>OR($A9="audio", $A9="video")</formula>
    </cfRule>
    <cfRule type="expression" dxfId="1518" priority="808" stopIfTrue="1">
      <formula>$A9="note"</formula>
    </cfRule>
    <cfRule type="expression" dxfId="1517" priority="810" stopIfTrue="1">
      <formula>$A9="barcode"</formula>
    </cfRule>
    <cfRule type="expression" dxfId="1516" priority="812" stopIfTrue="1">
      <formula>OR($A9="geopoint", $A9="geoshape", $A9="geotrace")</formula>
    </cfRule>
  </conditionalFormatting>
  <conditionalFormatting sqref="A9">
    <cfRule type="expression" dxfId="1515" priority="798" stopIfTrue="1">
      <formula>OR(AND(LEFT($A9, 14)="sensor_stream ", LEN($A9)&gt;14, NOT(ISNUMBER(SEARCH(" ", $A9, 15)))), AND(LEFT($A9, 17)="sensor_statistic ", LEN($A9)&gt;17, NOT(ISNUMBER(SEARCH(" ", $A9, 18)))))</formula>
    </cfRule>
    <cfRule type="expression" dxfId="1514" priority="813" stopIfTrue="1">
      <formula>OR($A9="audio audit", $A9="text audit", $A9="speed violations count", $A9="speed violations list", $A9="speed violations audit")</formula>
    </cfRule>
  </conditionalFormatting>
  <conditionalFormatting sqref="A9">
    <cfRule type="expression" dxfId="1513" priority="806" stopIfTrue="1">
      <formula>OR($A9="calculate", $A9="calculate_here")</formula>
    </cfRule>
  </conditionalFormatting>
  <conditionalFormatting sqref="A9">
    <cfRule type="expression" dxfId="1512" priority="797" stopIfTrue="1">
      <formula>$A9="enumerator"</formula>
    </cfRule>
    <cfRule type="expression" dxfId="1511" priority="803" stopIfTrue="1">
      <formula>$A9="image"</formula>
    </cfRule>
    <cfRule type="expression" dxfId="1510" priority="805" stopIfTrue="1">
      <formula>OR($A9="date", $A9="datetime", $A9="time")</formula>
    </cfRule>
    <cfRule type="expression" dxfId="1509" priority="816" stopIfTrue="1">
      <formula>OR(AND(LEFT($A9, 16)="select_multiple ", LEN($A9)&gt;16, NOT(ISNUMBER(SEARCH(" ", $A9, 17)))), AND(LEFT($A9, 11)="select_one ", LEN($A9)&gt;11, NOT(ISNUMBER(SEARCH(" ", $A9, 12)))))</formula>
    </cfRule>
    <cfRule type="expression" dxfId="1508" priority="818" stopIfTrue="1">
      <formula>$A9="decimal"</formula>
    </cfRule>
    <cfRule type="expression" dxfId="1507" priority="820" stopIfTrue="1">
      <formula>$A9="integer"</formula>
    </cfRule>
    <cfRule type="expression" dxfId="1506" priority="822" stopIfTrue="1">
      <formula>$A9="text"</formula>
    </cfRule>
    <cfRule type="expression" dxfId="1505" priority="828" stopIfTrue="1">
      <formula>$A9="begin group"</formula>
    </cfRule>
  </conditionalFormatting>
  <conditionalFormatting sqref="A9">
    <cfRule type="expression" dxfId="1504" priority="814" stopIfTrue="1">
      <formula>OR($A9="username", $A9="phonenumber", $A9="start", $A9="end", $A9="deviceid", $A9="subscriberid", $A9="simserial", $A9="caseid")</formula>
    </cfRule>
    <cfRule type="expression" dxfId="1503" priority="823" stopIfTrue="1">
      <formula>$A9="end repeat"</formula>
    </cfRule>
    <cfRule type="expression" dxfId="1502" priority="825" stopIfTrue="1">
      <formula>$A9="begin repeat"</formula>
    </cfRule>
    <cfRule type="expression" dxfId="1501" priority="826" stopIfTrue="1">
      <formula>$A9="end group"</formula>
    </cfRule>
  </conditionalFormatting>
  <conditionalFormatting sqref="A9">
    <cfRule type="expression" dxfId="1500" priority="827" stopIfTrue="1">
      <formula>$A9="begin group"</formula>
    </cfRule>
  </conditionalFormatting>
  <conditionalFormatting sqref="A9">
    <cfRule type="expression" dxfId="1499" priority="802" stopIfTrue="1">
      <formula>$A9="image"</formula>
    </cfRule>
    <cfRule type="expression" dxfId="1498" priority="804" stopIfTrue="1">
      <formula>OR($A9="date", $A9="datetime", $A9="time")</formula>
    </cfRule>
    <cfRule type="expression" dxfId="1497" priority="815" stopIfTrue="1">
      <formula>OR(AND(LEFT($A9, 16)="select_multiple ", LEN($A9)&gt;16, NOT(ISNUMBER(SEARCH(" ", $A9, 17)))), AND(LEFT($A9, 11)="select_one ", LEN($A9)&gt;11, NOT(ISNUMBER(SEARCH(" ", $A9, 12)))))</formula>
    </cfRule>
  </conditionalFormatting>
  <conditionalFormatting sqref="A9">
    <cfRule type="expression" dxfId="1496" priority="824" stopIfTrue="1">
      <formula>$A9="begin repeat"</formula>
    </cfRule>
  </conditionalFormatting>
  <conditionalFormatting sqref="A9">
    <cfRule type="expression" dxfId="1495" priority="794" stopIfTrue="1">
      <formula>$A9="file"</formula>
    </cfRule>
    <cfRule type="expression" dxfId="1494" priority="800" stopIfTrue="1">
      <formula>OR($A9="audio", $A9="video")</formula>
    </cfRule>
    <cfRule type="expression" dxfId="1493" priority="807" stopIfTrue="1">
      <formula>$A9="note"</formula>
    </cfRule>
    <cfRule type="expression" dxfId="1492" priority="809" stopIfTrue="1">
      <formula>$A9="barcode"</formula>
    </cfRule>
    <cfRule type="expression" dxfId="1491" priority="811" stopIfTrue="1">
      <formula>OR($A9="geopoint", $A9="geoshape", $A9="geotrace")</formula>
    </cfRule>
  </conditionalFormatting>
  <conditionalFormatting sqref="A9">
    <cfRule type="expression" dxfId="1490" priority="796" stopIfTrue="1">
      <formula>$A9="enumerator"</formula>
    </cfRule>
    <cfRule type="expression" dxfId="1489" priority="821" stopIfTrue="1">
      <formula>$A9="text"</formula>
    </cfRule>
  </conditionalFormatting>
  <conditionalFormatting sqref="A9">
    <cfRule type="expression" dxfId="1488" priority="817" stopIfTrue="1">
      <formula>$A9="decimal"</formula>
    </cfRule>
    <cfRule type="expression" dxfId="1487" priority="819" stopIfTrue="1">
      <formula>$A9="integer"</formula>
    </cfRule>
  </conditionalFormatting>
  <conditionalFormatting sqref="A9">
    <cfRule type="containsText" dxfId="1486" priority="792" operator="containsText" text="old">
      <formula>NOT(ISERROR(SEARCH("old",A9)))</formula>
    </cfRule>
    <cfRule type="containsText" dxfId="1485" priority="793" operator="containsText" text="integer">
      <formula>NOT(ISERROR(SEARCH("integer",A9)))</formula>
    </cfRule>
  </conditionalFormatting>
  <conditionalFormatting sqref="A9">
    <cfRule type="containsText" dxfId="1484" priority="790" operator="containsText" text="dur">
      <formula>NOT(ISERROR(SEARCH("dur",A9)))</formula>
    </cfRule>
    <cfRule type="containsText" dxfId="1483" priority="791" operator="containsText" text="group">
      <formula>NOT(ISERROR(SEARCH("group",A9)))</formula>
    </cfRule>
  </conditionalFormatting>
  <conditionalFormatting sqref="B9">
    <cfRule type="expression" dxfId="1482" priority="769" stopIfTrue="1">
      <formula>$A9="comments"</formula>
    </cfRule>
  </conditionalFormatting>
  <conditionalFormatting sqref="B9">
    <cfRule type="expression" dxfId="1481" priority="765" stopIfTrue="1">
      <formula>$A9="file"</formula>
    </cfRule>
    <cfRule type="expression" dxfId="1480" priority="770" stopIfTrue="1">
      <formula>OR($A9="audio", $A9="video")</formula>
    </cfRule>
    <cfRule type="expression" dxfId="1479" priority="774" stopIfTrue="1">
      <formula>$A9="note"</formula>
    </cfRule>
    <cfRule type="expression" dxfId="1478" priority="775" stopIfTrue="1">
      <formula>$A9="barcode"</formula>
    </cfRule>
    <cfRule type="expression" dxfId="1477" priority="776" stopIfTrue="1">
      <formula>OR($A9="geopoint", $A9="geoshape", $A9="geotrace")</formula>
    </cfRule>
  </conditionalFormatting>
  <conditionalFormatting sqref="B9">
    <cfRule type="expression" dxfId="1476" priority="768" stopIfTrue="1">
      <formula>OR(AND(LEFT($A9, 14)="sensor_stream ", LEN($A9)&gt;14, NOT(ISNUMBER(SEARCH(" ", $A9, 15)))), AND(LEFT($A9, 17)="sensor_statistic ", LEN($A9)&gt;17, NOT(ISNUMBER(SEARCH(" ", $A9, 18)))))</formula>
    </cfRule>
    <cfRule type="expression" dxfId="1475" priority="777" stopIfTrue="1">
      <formula>OR($A9="audio audit", $A9="text audit", $A9="speed violations count", $A9="speed violations list", $A9="speed violations audit")</formula>
    </cfRule>
  </conditionalFormatting>
  <conditionalFormatting sqref="B9">
    <cfRule type="expression" dxfId="1474" priority="773" stopIfTrue="1">
      <formula>OR($A9="calculate", $A9="calculate_here")</formula>
    </cfRule>
  </conditionalFormatting>
  <conditionalFormatting sqref="B9">
    <cfRule type="expression" dxfId="1473" priority="767" stopIfTrue="1">
      <formula>$A9="enumerator"</formula>
    </cfRule>
    <cfRule type="expression" dxfId="1472" priority="771" stopIfTrue="1">
      <formula>$A9="image"</formula>
    </cfRule>
    <cfRule type="expression" dxfId="1471" priority="772" stopIfTrue="1">
      <formula>OR($A9="date", $A9="datetime", $A9="time")</formula>
    </cfRule>
    <cfRule type="expression" dxfId="1470" priority="779" stopIfTrue="1">
      <formula>OR(AND(LEFT($A9, 16)="select_multiple ", LEN($A9)&gt;16, NOT(ISNUMBER(SEARCH(" ", $A9, 17)))), AND(LEFT($A9, 11)="select_one ", LEN($A9)&gt;11, NOT(ISNUMBER(SEARCH(" ", $A9, 12)))))</formula>
    </cfRule>
    <cfRule type="expression" dxfId="1469" priority="781" stopIfTrue="1">
      <formula>$A9="decimal"</formula>
    </cfRule>
    <cfRule type="expression" dxfId="1468" priority="783" stopIfTrue="1">
      <formula>$A9="integer"</formula>
    </cfRule>
    <cfRule type="expression" dxfId="1467" priority="785" stopIfTrue="1">
      <formula>$A9="text"</formula>
    </cfRule>
    <cfRule type="expression" dxfId="1466" priority="789" stopIfTrue="1">
      <formula>$A9="begin group"</formula>
    </cfRule>
  </conditionalFormatting>
  <conditionalFormatting sqref="B9">
    <cfRule type="expression" dxfId="1465" priority="778" stopIfTrue="1">
      <formula>OR($A9="username", $A9="phonenumber", $A9="start", $A9="end", $A9="deviceid", $A9="subscriberid", $A9="simserial", $A9="caseid")</formula>
    </cfRule>
    <cfRule type="expression" dxfId="1464" priority="786" stopIfTrue="1">
      <formula>$A9="end repeat"</formula>
    </cfRule>
    <cfRule type="expression" dxfId="1463" priority="787" stopIfTrue="1">
      <formula>$A9="begin repeat"</formula>
    </cfRule>
    <cfRule type="expression" dxfId="1462" priority="788" stopIfTrue="1">
      <formula>$A9="end group"</formula>
    </cfRule>
  </conditionalFormatting>
  <conditionalFormatting sqref="B9">
    <cfRule type="expression" dxfId="1461" priority="766" stopIfTrue="1">
      <formula>$A9="enumerator"</formula>
    </cfRule>
    <cfRule type="expression" dxfId="1460" priority="784" stopIfTrue="1">
      <formula>$A9="text"</formula>
    </cfRule>
  </conditionalFormatting>
  <conditionalFormatting sqref="B9">
    <cfRule type="expression" dxfId="1459" priority="780" stopIfTrue="1">
      <formula>$A9="decimal"</formula>
    </cfRule>
    <cfRule type="expression" dxfId="1458" priority="782" stopIfTrue="1">
      <formula>$A9="integer"</formula>
    </cfRule>
  </conditionalFormatting>
  <conditionalFormatting sqref="B9">
    <cfRule type="containsText" dxfId="1457" priority="763" operator="containsText" text="old">
      <formula>NOT(ISERROR(SEARCH("old",B9)))</formula>
    </cfRule>
    <cfRule type="containsText" dxfId="1456" priority="764" operator="containsText" text="integer">
      <formula>NOT(ISERROR(SEARCH("integer",B9)))</formula>
    </cfRule>
  </conditionalFormatting>
  <conditionalFormatting sqref="B9">
    <cfRule type="containsText" dxfId="1455" priority="761" operator="containsText" text="dur">
      <formula>NOT(ISERROR(SEARCH("dur",B9)))</formula>
    </cfRule>
    <cfRule type="containsText" dxfId="1454" priority="762" operator="containsText" text="group">
      <formula>NOT(ISERROR(SEARCH("group",B9)))</formula>
    </cfRule>
  </conditionalFormatting>
  <conditionalFormatting sqref="A11:B11">
    <cfRule type="expression" dxfId="1453" priority="731" stopIfTrue="1">
      <formula>$A11="comments"</formula>
    </cfRule>
  </conditionalFormatting>
  <conditionalFormatting sqref="A11:B11">
    <cfRule type="expression" dxfId="1452" priority="727" stopIfTrue="1">
      <formula>$A11="file"</formula>
    </cfRule>
    <cfRule type="expression" dxfId="1451" priority="733" stopIfTrue="1">
      <formula>OR($A11="audio", $A11="video")</formula>
    </cfRule>
    <cfRule type="expression" dxfId="1450" priority="740" stopIfTrue="1">
      <formula>$A11="note"</formula>
    </cfRule>
    <cfRule type="expression" dxfId="1449" priority="742" stopIfTrue="1">
      <formula>$A11="barcode"</formula>
    </cfRule>
    <cfRule type="expression" dxfId="1448" priority="744" stopIfTrue="1">
      <formula>OR($A11="geopoint", $A11="geoshape", $A11="geotrace")</formula>
    </cfRule>
  </conditionalFormatting>
  <conditionalFormatting sqref="A11:B11">
    <cfRule type="expression" dxfId="1447" priority="730" stopIfTrue="1">
      <formula>OR(AND(LEFT($A11, 14)="sensor_stream ", LEN($A11)&gt;14, NOT(ISNUMBER(SEARCH(" ", $A11, 15)))), AND(LEFT($A11, 17)="sensor_statistic ", LEN($A11)&gt;17, NOT(ISNUMBER(SEARCH(" ", $A11, 18)))))</formula>
    </cfRule>
    <cfRule type="expression" dxfId="1446" priority="745" stopIfTrue="1">
      <formula>OR($A11="audio audit", $A11="text audit", $A11="speed violations count", $A11="speed violations list", $A11="speed violations audit")</formula>
    </cfRule>
  </conditionalFormatting>
  <conditionalFormatting sqref="A11:B11">
    <cfRule type="expression" dxfId="1445" priority="738" stopIfTrue="1">
      <formula>OR($A11="calculate", $A11="calculate_here")</formula>
    </cfRule>
  </conditionalFormatting>
  <conditionalFormatting sqref="A11:B11">
    <cfRule type="expression" dxfId="1444" priority="729" stopIfTrue="1">
      <formula>$A11="enumerator"</formula>
    </cfRule>
    <cfRule type="expression" dxfId="1443" priority="735" stopIfTrue="1">
      <formula>$A11="image"</formula>
    </cfRule>
    <cfRule type="expression" dxfId="1442" priority="737" stopIfTrue="1">
      <formula>OR($A11="date", $A11="datetime", $A11="time")</formula>
    </cfRule>
    <cfRule type="expression" dxfId="1441" priority="748" stopIfTrue="1">
      <formula>OR(AND(LEFT($A11, 16)="select_multiple ", LEN($A11)&gt;16, NOT(ISNUMBER(SEARCH(" ", $A11, 17)))), AND(LEFT($A11, 11)="select_one ", LEN($A11)&gt;11, NOT(ISNUMBER(SEARCH(" ", $A11, 12)))))</formula>
    </cfRule>
    <cfRule type="expression" dxfId="1440" priority="750" stopIfTrue="1">
      <formula>$A11="decimal"</formula>
    </cfRule>
    <cfRule type="expression" dxfId="1439" priority="752" stopIfTrue="1">
      <formula>$A11="integer"</formula>
    </cfRule>
    <cfRule type="expression" dxfId="1438" priority="754" stopIfTrue="1">
      <formula>$A11="text"</formula>
    </cfRule>
    <cfRule type="expression" dxfId="1437" priority="760" stopIfTrue="1">
      <formula>$A11="begin group"</formula>
    </cfRule>
  </conditionalFormatting>
  <conditionalFormatting sqref="A11:B11">
    <cfRule type="expression" dxfId="1436" priority="746" stopIfTrue="1">
      <formula>OR($A11="username", $A11="phonenumber", $A11="start", $A11="end", $A11="deviceid", $A11="subscriberid", $A11="simserial", $A11="caseid")</formula>
    </cfRule>
    <cfRule type="expression" dxfId="1435" priority="755" stopIfTrue="1">
      <formula>$A11="end repeat"</formula>
    </cfRule>
    <cfRule type="expression" dxfId="1434" priority="757" stopIfTrue="1">
      <formula>$A11="begin repeat"</formula>
    </cfRule>
    <cfRule type="expression" dxfId="1433" priority="758" stopIfTrue="1">
      <formula>$A11="end group"</formula>
    </cfRule>
  </conditionalFormatting>
  <conditionalFormatting sqref="A11">
    <cfRule type="expression" dxfId="1432" priority="759" stopIfTrue="1">
      <formula>$A11="begin group"</formula>
    </cfRule>
  </conditionalFormatting>
  <conditionalFormatting sqref="A11">
    <cfRule type="expression" dxfId="1431" priority="734" stopIfTrue="1">
      <formula>$A11="image"</formula>
    </cfRule>
    <cfRule type="expression" dxfId="1430" priority="736" stopIfTrue="1">
      <formula>OR($A11="date", $A11="datetime", $A11="time")</formula>
    </cfRule>
    <cfRule type="expression" dxfId="1429" priority="747" stopIfTrue="1">
      <formula>OR(AND(LEFT($A11, 16)="select_multiple ", LEN($A11)&gt;16, NOT(ISNUMBER(SEARCH(" ", $A11, 17)))), AND(LEFT($A11, 11)="select_one ", LEN($A11)&gt;11, NOT(ISNUMBER(SEARCH(" ", $A11, 12)))))</formula>
    </cfRule>
  </conditionalFormatting>
  <conditionalFormatting sqref="A11">
    <cfRule type="expression" dxfId="1428" priority="756" stopIfTrue="1">
      <formula>$A11="begin repeat"</formula>
    </cfRule>
  </conditionalFormatting>
  <conditionalFormatting sqref="A11">
    <cfRule type="expression" dxfId="1427" priority="726" stopIfTrue="1">
      <formula>$A11="file"</formula>
    </cfRule>
    <cfRule type="expression" dxfId="1426" priority="732" stopIfTrue="1">
      <formula>OR($A11="audio", $A11="video")</formula>
    </cfRule>
    <cfRule type="expression" dxfId="1425" priority="739" stopIfTrue="1">
      <formula>$A11="note"</formula>
    </cfRule>
    <cfRule type="expression" dxfId="1424" priority="741" stopIfTrue="1">
      <formula>$A11="barcode"</formula>
    </cfRule>
    <cfRule type="expression" dxfId="1423" priority="743" stopIfTrue="1">
      <formula>OR($A11="geopoint", $A11="geoshape", $A11="geotrace")</formula>
    </cfRule>
  </conditionalFormatting>
  <conditionalFormatting sqref="A11:B11">
    <cfRule type="expression" dxfId="1422" priority="728" stopIfTrue="1">
      <formula>$A11="enumerator"</formula>
    </cfRule>
    <cfRule type="expression" dxfId="1421" priority="753" stopIfTrue="1">
      <formula>$A11="text"</formula>
    </cfRule>
  </conditionalFormatting>
  <conditionalFormatting sqref="A11:B11">
    <cfRule type="expression" dxfId="1420" priority="749" stopIfTrue="1">
      <formula>$A11="decimal"</formula>
    </cfRule>
    <cfRule type="expression" dxfId="1419" priority="751" stopIfTrue="1">
      <formula>$A11="integer"</formula>
    </cfRule>
  </conditionalFormatting>
  <conditionalFormatting sqref="A11:B11">
    <cfRule type="containsText" dxfId="1418" priority="724" operator="containsText" text="old">
      <formula>NOT(ISERROR(SEARCH("old",A11)))</formula>
    </cfRule>
    <cfRule type="containsText" dxfId="1417" priority="725" operator="containsText" text="integer">
      <formula>NOT(ISERROR(SEARCH("integer",A11)))</formula>
    </cfRule>
  </conditionalFormatting>
  <conditionalFormatting sqref="A11:B11">
    <cfRule type="containsText" dxfId="1416" priority="722" operator="containsText" text="dur">
      <formula>NOT(ISERROR(SEARCH("dur",A11)))</formula>
    </cfRule>
    <cfRule type="containsText" dxfId="1415" priority="723" operator="containsText" text="group">
      <formula>NOT(ISERROR(SEARCH("group",A11)))</formula>
    </cfRule>
  </conditionalFormatting>
  <conditionalFormatting sqref="C11">
    <cfRule type="expression" dxfId="1414" priority="692" stopIfTrue="1">
      <formula>$A11="comments"</formula>
    </cfRule>
  </conditionalFormatting>
  <conditionalFormatting sqref="C11">
    <cfRule type="expression" dxfId="1413" priority="688" stopIfTrue="1">
      <formula>$A11="file"</formula>
    </cfRule>
    <cfRule type="expression" dxfId="1412" priority="694" stopIfTrue="1">
      <formula>OR($A11="audio", $A11="video")</formula>
    </cfRule>
    <cfRule type="expression" dxfId="1411" priority="701" stopIfTrue="1">
      <formula>$A11="note"</formula>
    </cfRule>
    <cfRule type="expression" dxfId="1410" priority="703" stopIfTrue="1">
      <formula>$A11="barcode"</formula>
    </cfRule>
    <cfRule type="expression" dxfId="1409" priority="705" stopIfTrue="1">
      <formula>OR($A11="geopoint", $A11="geoshape", $A11="geotrace")</formula>
    </cfRule>
  </conditionalFormatting>
  <conditionalFormatting sqref="C11">
    <cfRule type="expression" dxfId="1408" priority="691" stopIfTrue="1">
      <formula>OR(AND(LEFT($A11, 14)="sensor_stream ", LEN($A11)&gt;14, NOT(ISNUMBER(SEARCH(" ", $A11, 15)))), AND(LEFT($A11, 17)="sensor_statistic ", LEN($A11)&gt;17, NOT(ISNUMBER(SEARCH(" ", $A11, 18)))))</formula>
    </cfRule>
    <cfRule type="expression" dxfId="1407" priority="706" stopIfTrue="1">
      <formula>OR($A11="audio audit", $A11="text audit", $A11="speed violations count", $A11="speed violations list", $A11="speed violations audit")</formula>
    </cfRule>
  </conditionalFormatting>
  <conditionalFormatting sqref="C11">
    <cfRule type="expression" dxfId="1406" priority="699" stopIfTrue="1">
      <formula>OR($A11="calculate", $A11="calculate_here")</formula>
    </cfRule>
  </conditionalFormatting>
  <conditionalFormatting sqref="C11">
    <cfRule type="expression" dxfId="1405" priority="690" stopIfTrue="1">
      <formula>$A11="enumerator"</formula>
    </cfRule>
    <cfRule type="expression" dxfId="1404" priority="696" stopIfTrue="1">
      <formula>$A11="image"</formula>
    </cfRule>
    <cfRule type="expression" dxfId="1403" priority="698" stopIfTrue="1">
      <formula>OR($A11="date", $A11="datetime", $A11="time")</formula>
    </cfRule>
    <cfRule type="expression" dxfId="1402" priority="709" stopIfTrue="1">
      <formula>OR(AND(LEFT($A11, 16)="select_multiple ", LEN($A11)&gt;16, NOT(ISNUMBER(SEARCH(" ", $A11, 17)))), AND(LEFT($A11, 11)="select_one ", LEN($A11)&gt;11, NOT(ISNUMBER(SEARCH(" ", $A11, 12)))))</formula>
    </cfRule>
    <cfRule type="expression" dxfId="1401" priority="711" stopIfTrue="1">
      <formula>$A11="decimal"</formula>
    </cfRule>
    <cfRule type="expression" dxfId="1400" priority="713" stopIfTrue="1">
      <formula>$A11="integer"</formula>
    </cfRule>
    <cfRule type="expression" dxfId="1399" priority="715" stopIfTrue="1">
      <formula>$A11="text"</formula>
    </cfRule>
    <cfRule type="expression" dxfId="1398" priority="721" stopIfTrue="1">
      <formula>$A11="begin group"</formula>
    </cfRule>
  </conditionalFormatting>
  <conditionalFormatting sqref="C11">
    <cfRule type="expression" dxfId="1397" priority="707" stopIfTrue="1">
      <formula>OR($A11="username", $A11="phonenumber", $A11="start", $A11="end", $A11="deviceid", $A11="subscriberid", $A11="simserial", $A11="caseid")</formula>
    </cfRule>
    <cfRule type="expression" dxfId="1396" priority="716" stopIfTrue="1">
      <formula>$A11="end repeat"</formula>
    </cfRule>
    <cfRule type="expression" dxfId="1395" priority="718" stopIfTrue="1">
      <formula>$A11="begin repeat"</formula>
    </cfRule>
    <cfRule type="expression" dxfId="1394" priority="719" stopIfTrue="1">
      <formula>$A11="end group"</formula>
    </cfRule>
  </conditionalFormatting>
  <conditionalFormatting sqref="C11">
    <cfRule type="expression" dxfId="1393" priority="720" stopIfTrue="1">
      <formula>$A11="begin group"</formula>
    </cfRule>
  </conditionalFormatting>
  <conditionalFormatting sqref="C11">
    <cfRule type="expression" dxfId="1392" priority="695" stopIfTrue="1">
      <formula>$A11="image"</formula>
    </cfRule>
    <cfRule type="expression" dxfId="1391" priority="697" stopIfTrue="1">
      <formula>OR($A11="date", $A11="datetime", $A11="time")</formula>
    </cfRule>
    <cfRule type="expression" dxfId="1390" priority="708" stopIfTrue="1">
      <formula>OR(AND(LEFT($A11, 16)="select_multiple ", LEN($A11)&gt;16, NOT(ISNUMBER(SEARCH(" ", $A11, 17)))), AND(LEFT($A11, 11)="select_one ", LEN($A11)&gt;11, NOT(ISNUMBER(SEARCH(" ", $A11, 12)))))</formula>
    </cfRule>
  </conditionalFormatting>
  <conditionalFormatting sqref="C11">
    <cfRule type="expression" dxfId="1389" priority="717" stopIfTrue="1">
      <formula>$A11="begin repeat"</formula>
    </cfRule>
  </conditionalFormatting>
  <conditionalFormatting sqref="C11">
    <cfRule type="expression" dxfId="1388" priority="687" stopIfTrue="1">
      <formula>$A11="file"</formula>
    </cfRule>
    <cfRule type="expression" dxfId="1387" priority="693" stopIfTrue="1">
      <formula>OR($A11="audio", $A11="video")</formula>
    </cfRule>
    <cfRule type="expression" dxfId="1386" priority="700" stopIfTrue="1">
      <formula>$A11="note"</formula>
    </cfRule>
    <cfRule type="expression" dxfId="1385" priority="702" stopIfTrue="1">
      <formula>$A11="barcode"</formula>
    </cfRule>
    <cfRule type="expression" dxfId="1384" priority="704" stopIfTrue="1">
      <formula>OR($A11="geopoint", $A11="geoshape", $A11="geotrace")</formula>
    </cfRule>
  </conditionalFormatting>
  <conditionalFormatting sqref="C11">
    <cfRule type="expression" dxfId="1383" priority="689" stopIfTrue="1">
      <formula>$A11="enumerator"</formula>
    </cfRule>
    <cfRule type="expression" dxfId="1382" priority="714" stopIfTrue="1">
      <formula>$A11="text"</formula>
    </cfRule>
  </conditionalFormatting>
  <conditionalFormatting sqref="C11">
    <cfRule type="expression" dxfId="1381" priority="710" stopIfTrue="1">
      <formula>$A11="decimal"</formula>
    </cfRule>
    <cfRule type="expression" dxfId="1380" priority="712" stopIfTrue="1">
      <formula>$A11="integer"</formula>
    </cfRule>
  </conditionalFormatting>
  <conditionalFormatting sqref="C11">
    <cfRule type="containsText" dxfId="1379" priority="685" operator="containsText" text="old">
      <formula>NOT(ISERROR(SEARCH("old",C11)))</formula>
    </cfRule>
    <cfRule type="containsText" dxfId="1378" priority="686" operator="containsText" text="integer">
      <formula>NOT(ISERROR(SEARCH("integer",C11)))</formula>
    </cfRule>
  </conditionalFormatting>
  <conditionalFormatting sqref="C11">
    <cfRule type="containsText" dxfId="1377" priority="683" operator="containsText" text="dur">
      <formula>NOT(ISERROR(SEARCH("dur",C11)))</formula>
    </cfRule>
    <cfRule type="containsText" dxfId="1376" priority="684" operator="containsText" text="group">
      <formula>NOT(ISERROR(SEARCH("group",C11)))</formula>
    </cfRule>
  </conditionalFormatting>
  <conditionalFormatting sqref="A10">
    <cfRule type="expression" dxfId="1375" priority="594" stopIfTrue="1">
      <formula>$A10="comments"</formula>
    </cfRule>
  </conditionalFormatting>
  <conditionalFormatting sqref="A10">
    <cfRule type="expression" dxfId="1374" priority="590" stopIfTrue="1">
      <formula>$A10="file"</formula>
    </cfRule>
    <cfRule type="expression" dxfId="1373" priority="595" stopIfTrue="1">
      <formula>OR($A10="audio", $A10="video")</formula>
    </cfRule>
    <cfRule type="expression" dxfId="1372" priority="599" stopIfTrue="1">
      <formula>$A10="note"</formula>
    </cfRule>
    <cfRule type="expression" dxfId="1371" priority="600" stopIfTrue="1">
      <formula>$A10="barcode"</formula>
    </cfRule>
    <cfRule type="expression" dxfId="1370" priority="601" stopIfTrue="1">
      <formula>OR($A10="geopoint", $A10="geoshape", $A10="geotrace")</formula>
    </cfRule>
  </conditionalFormatting>
  <conditionalFormatting sqref="A10">
    <cfRule type="expression" dxfId="1369" priority="593" stopIfTrue="1">
      <formula>OR(AND(LEFT($A10, 14)="sensor_stream ", LEN($A10)&gt;14, NOT(ISNUMBER(SEARCH(" ", $A10, 15)))), AND(LEFT($A10, 17)="sensor_statistic ", LEN($A10)&gt;17, NOT(ISNUMBER(SEARCH(" ", $A10, 18)))))</formula>
    </cfRule>
    <cfRule type="expression" dxfId="1368" priority="602" stopIfTrue="1">
      <formula>OR($A10="audio audit", $A10="text audit", $A10="speed violations count", $A10="speed violations list", $A10="speed violations audit")</formula>
    </cfRule>
  </conditionalFormatting>
  <conditionalFormatting sqref="A10">
    <cfRule type="expression" dxfId="1367" priority="598" stopIfTrue="1">
      <formula>OR($A10="calculate", $A10="calculate_here")</formula>
    </cfRule>
  </conditionalFormatting>
  <conditionalFormatting sqref="A10">
    <cfRule type="expression" dxfId="1366" priority="592" stopIfTrue="1">
      <formula>$A10="enumerator"</formula>
    </cfRule>
    <cfRule type="expression" dxfId="1365" priority="596" stopIfTrue="1">
      <formula>$A10="image"</formula>
    </cfRule>
    <cfRule type="expression" dxfId="1364" priority="597" stopIfTrue="1">
      <formula>OR($A10="date", $A10="datetime", $A10="time")</formula>
    </cfRule>
    <cfRule type="expression" dxfId="1363" priority="604" stopIfTrue="1">
      <formula>OR(AND(LEFT($A10, 16)="select_multiple ", LEN($A10)&gt;16, NOT(ISNUMBER(SEARCH(" ", $A10, 17)))), AND(LEFT($A10, 11)="select_one ", LEN($A10)&gt;11, NOT(ISNUMBER(SEARCH(" ", $A10, 12)))))</formula>
    </cfRule>
    <cfRule type="expression" dxfId="1362" priority="606" stopIfTrue="1">
      <formula>$A10="decimal"</formula>
    </cfRule>
    <cfRule type="expression" dxfId="1361" priority="608" stopIfTrue="1">
      <formula>$A10="integer"</formula>
    </cfRule>
    <cfRule type="expression" dxfId="1360" priority="610" stopIfTrue="1">
      <formula>$A10="text"</formula>
    </cfRule>
    <cfRule type="expression" dxfId="1359" priority="614" stopIfTrue="1">
      <formula>$A10="begin group"</formula>
    </cfRule>
  </conditionalFormatting>
  <conditionalFormatting sqref="A10">
    <cfRule type="expression" dxfId="1358" priority="603" stopIfTrue="1">
      <formula>OR($A10="username", $A10="phonenumber", $A10="start", $A10="end", $A10="deviceid", $A10="subscriberid", $A10="simserial", $A10="caseid")</formula>
    </cfRule>
    <cfRule type="expression" dxfId="1357" priority="611" stopIfTrue="1">
      <formula>$A10="end repeat"</formula>
    </cfRule>
    <cfRule type="expression" dxfId="1356" priority="612" stopIfTrue="1">
      <formula>$A10="begin repeat"</formula>
    </cfRule>
    <cfRule type="expression" dxfId="1355" priority="613" stopIfTrue="1">
      <formula>$A10="end group"</formula>
    </cfRule>
  </conditionalFormatting>
  <conditionalFormatting sqref="A10">
    <cfRule type="expression" dxfId="1354" priority="591" stopIfTrue="1">
      <formula>$A10="enumerator"</formula>
    </cfRule>
    <cfRule type="expression" dxfId="1353" priority="609" stopIfTrue="1">
      <formula>$A10="text"</formula>
    </cfRule>
  </conditionalFormatting>
  <conditionalFormatting sqref="A10">
    <cfRule type="expression" dxfId="1352" priority="605" stopIfTrue="1">
      <formula>$A10="decimal"</formula>
    </cfRule>
    <cfRule type="expression" dxfId="1351" priority="607" stopIfTrue="1">
      <formula>$A10="integer"</formula>
    </cfRule>
  </conditionalFormatting>
  <conditionalFormatting sqref="A10">
    <cfRule type="containsText" dxfId="1350" priority="588" operator="containsText" text="old">
      <formula>NOT(ISERROR(SEARCH("old",A10)))</formula>
    </cfRule>
    <cfRule type="containsText" dxfId="1349" priority="589" operator="containsText" text="integer">
      <formula>NOT(ISERROR(SEARCH("integer",A10)))</formula>
    </cfRule>
  </conditionalFormatting>
  <conditionalFormatting sqref="A10">
    <cfRule type="containsText" dxfId="1348" priority="586" operator="containsText" text="dur">
      <formula>NOT(ISERROR(SEARCH("dur",A10)))</formula>
    </cfRule>
    <cfRule type="containsText" dxfId="1347" priority="587" operator="containsText" text="group">
      <formula>NOT(ISERROR(SEARCH("group",A10)))</formula>
    </cfRule>
  </conditionalFormatting>
  <conditionalFormatting sqref="B10">
    <cfRule type="expression" dxfId="1346" priority="585">
      <formula>$A10&lt;&gt;""</formula>
    </cfRule>
  </conditionalFormatting>
  <conditionalFormatting sqref="C14">
    <cfRule type="expression" dxfId="1345" priority="565" stopIfTrue="1">
      <formula>$A14="comments"</formula>
    </cfRule>
  </conditionalFormatting>
  <conditionalFormatting sqref="C14">
    <cfRule type="expression" dxfId="1344" priority="562" stopIfTrue="1">
      <formula>$A14="file"</formula>
    </cfRule>
    <cfRule type="expression" dxfId="1343" priority="566" stopIfTrue="1">
      <formula>OR($A14="audio", $A14="video")</formula>
    </cfRule>
    <cfRule type="expression" dxfId="1342" priority="570" stopIfTrue="1">
      <formula>$A14="note"</formula>
    </cfRule>
    <cfRule type="expression" dxfId="1341" priority="571" stopIfTrue="1">
      <formula>$A14="barcode"</formula>
    </cfRule>
    <cfRule type="expression" dxfId="1340" priority="572" stopIfTrue="1">
      <formula>OR($A14="geopoint", $A14="geoshape", $A14="geotrace")</formula>
    </cfRule>
  </conditionalFormatting>
  <conditionalFormatting sqref="C14">
    <cfRule type="expression" dxfId="1339" priority="564" stopIfTrue="1">
      <formula>OR(AND(LEFT($A14, 14)="sensor_stream ", LEN($A14)&gt;14, NOT(ISNUMBER(SEARCH(" ", $A14, 15)))), AND(LEFT($A14, 17)="sensor_statistic ", LEN($A14)&gt;17, NOT(ISNUMBER(SEARCH(" ", $A14, 18)))))</formula>
    </cfRule>
    <cfRule type="expression" dxfId="1338" priority="573" stopIfTrue="1">
      <formula>OR($A14="audio audit", $A14="text audit", $A14="speed violations count", $A14="speed violations list", $A14="speed violations audit")</formula>
    </cfRule>
  </conditionalFormatting>
  <conditionalFormatting sqref="C14">
    <cfRule type="expression" dxfId="1337" priority="569" stopIfTrue="1">
      <formula>OR($A14="calculate", $A14="calculate_here")</formula>
    </cfRule>
  </conditionalFormatting>
  <conditionalFormatting sqref="C14">
    <cfRule type="expression" dxfId="1336" priority="563" stopIfTrue="1">
      <formula>$A14="enumerator"</formula>
    </cfRule>
    <cfRule type="expression" dxfId="1335" priority="567" stopIfTrue="1">
      <formula>$A14="image"</formula>
    </cfRule>
    <cfRule type="expression" dxfId="1334" priority="568" stopIfTrue="1">
      <formula>OR($A14="date", $A14="datetime", $A14="time")</formula>
    </cfRule>
    <cfRule type="expression" dxfId="1333" priority="575" stopIfTrue="1">
      <formula>OR(AND(LEFT($A14, 16)="select_multiple ", LEN($A14)&gt;16, NOT(ISNUMBER(SEARCH(" ", $A14, 17)))), AND(LEFT($A14, 11)="select_one ", LEN($A14)&gt;11, NOT(ISNUMBER(SEARCH(" ", $A14, 12)))))</formula>
    </cfRule>
    <cfRule type="expression" dxfId="1332" priority="577" stopIfTrue="1">
      <formula>$A14="decimal"</formula>
    </cfRule>
    <cfRule type="expression" dxfId="1331" priority="579" stopIfTrue="1">
      <formula>$A14="integer"</formula>
    </cfRule>
    <cfRule type="expression" dxfId="1330" priority="580" stopIfTrue="1">
      <formula>$A14="text"</formula>
    </cfRule>
    <cfRule type="expression" dxfId="1329" priority="584" stopIfTrue="1">
      <formula>$A14="begin group"</formula>
    </cfRule>
  </conditionalFormatting>
  <conditionalFormatting sqref="C14">
    <cfRule type="expression" dxfId="1328" priority="574" stopIfTrue="1">
      <formula>OR($A14="username", $A14="phonenumber", $A14="start", $A14="end", $A14="deviceid", $A14="subscriberid", $A14="simserial", $A14="caseid")</formula>
    </cfRule>
    <cfRule type="expression" dxfId="1327" priority="581" stopIfTrue="1">
      <formula>$A14="end repeat"</formula>
    </cfRule>
    <cfRule type="expression" dxfId="1326" priority="582" stopIfTrue="1">
      <formula>$A14="begin repeat"</formula>
    </cfRule>
    <cfRule type="expression" dxfId="1325" priority="583" stopIfTrue="1">
      <formula>$A14="end group"</formula>
    </cfRule>
  </conditionalFormatting>
  <conditionalFormatting sqref="C14">
    <cfRule type="expression" dxfId="1324" priority="576" stopIfTrue="1">
      <formula>$A14="decimal"</formula>
    </cfRule>
    <cfRule type="expression" dxfId="1323" priority="578" stopIfTrue="1">
      <formula>$A14="integer"</formula>
    </cfRule>
  </conditionalFormatting>
  <conditionalFormatting sqref="C14">
    <cfRule type="containsText" dxfId="1322" priority="560" operator="containsText" text="old">
      <formula>NOT(ISERROR(SEARCH("old",C14)))</formula>
    </cfRule>
    <cfRule type="containsText" dxfId="1321" priority="561" operator="containsText" text="integer">
      <formula>NOT(ISERROR(SEARCH("integer",C14)))</formula>
    </cfRule>
  </conditionalFormatting>
  <conditionalFormatting sqref="C14">
    <cfRule type="containsText" dxfId="1320" priority="558" operator="containsText" text="dur">
      <formula>NOT(ISERROR(SEARCH("dur",C14)))</formula>
    </cfRule>
    <cfRule type="containsText" dxfId="1319" priority="559" operator="containsText" text="group">
      <formula>NOT(ISERROR(SEARCH("group",C14)))</formula>
    </cfRule>
  </conditionalFormatting>
  <conditionalFormatting sqref="C15">
    <cfRule type="expression" dxfId="1318" priority="528" stopIfTrue="1">
      <formula>$A15="comments"</formula>
    </cfRule>
  </conditionalFormatting>
  <conditionalFormatting sqref="C15">
    <cfRule type="expression" dxfId="1317" priority="524" stopIfTrue="1">
      <formula>$A15="file"</formula>
    </cfRule>
    <cfRule type="expression" dxfId="1316" priority="530" stopIfTrue="1">
      <formula>OR($A15="audio", $A15="video")</formula>
    </cfRule>
    <cfRule type="expression" dxfId="1315" priority="537" stopIfTrue="1">
      <formula>$A15="note"</formula>
    </cfRule>
    <cfRule type="expression" dxfId="1314" priority="539" stopIfTrue="1">
      <formula>$A15="barcode"</formula>
    </cfRule>
    <cfRule type="expression" dxfId="1313" priority="541" stopIfTrue="1">
      <formula>OR($A15="geopoint", $A15="geoshape", $A15="geotrace")</formula>
    </cfRule>
  </conditionalFormatting>
  <conditionalFormatting sqref="C15">
    <cfRule type="expression" dxfId="1312" priority="527" stopIfTrue="1">
      <formula>OR(AND(LEFT($A15, 14)="sensor_stream ", LEN($A15)&gt;14, NOT(ISNUMBER(SEARCH(" ", $A15, 15)))), AND(LEFT($A15, 17)="sensor_statistic ", LEN($A15)&gt;17, NOT(ISNUMBER(SEARCH(" ", $A15, 18)))))</formula>
    </cfRule>
    <cfRule type="expression" dxfId="1311" priority="542" stopIfTrue="1">
      <formula>OR($A15="audio audit", $A15="text audit", $A15="speed violations count", $A15="speed violations list", $A15="speed violations audit")</formula>
    </cfRule>
  </conditionalFormatting>
  <conditionalFormatting sqref="C15">
    <cfRule type="expression" dxfId="1310" priority="535" stopIfTrue="1">
      <formula>OR($A15="calculate", $A15="calculate_here")</formula>
    </cfRule>
  </conditionalFormatting>
  <conditionalFormatting sqref="C15">
    <cfRule type="expression" dxfId="1309" priority="526" stopIfTrue="1">
      <formula>$A15="enumerator"</formula>
    </cfRule>
    <cfRule type="expression" dxfId="1308" priority="532" stopIfTrue="1">
      <formula>$A15="image"</formula>
    </cfRule>
    <cfRule type="expression" dxfId="1307" priority="534" stopIfTrue="1">
      <formula>OR($A15="date", $A15="datetime", $A15="time")</formula>
    </cfRule>
    <cfRule type="expression" dxfId="1306" priority="545" stopIfTrue="1">
      <formula>OR(AND(LEFT($A15, 16)="select_multiple ", LEN($A15)&gt;16, NOT(ISNUMBER(SEARCH(" ", $A15, 17)))), AND(LEFT($A15, 11)="select_one ", LEN($A15)&gt;11, NOT(ISNUMBER(SEARCH(" ", $A15, 12)))))</formula>
    </cfRule>
    <cfRule type="expression" dxfId="1305" priority="547" stopIfTrue="1">
      <formula>$A15="decimal"</formula>
    </cfRule>
    <cfRule type="expression" dxfId="1304" priority="549" stopIfTrue="1">
      <formula>$A15="integer"</formula>
    </cfRule>
    <cfRule type="expression" dxfId="1303" priority="551" stopIfTrue="1">
      <formula>$A15="text"</formula>
    </cfRule>
    <cfRule type="expression" dxfId="1302" priority="557" stopIfTrue="1">
      <formula>$A15="begin group"</formula>
    </cfRule>
  </conditionalFormatting>
  <conditionalFormatting sqref="C15">
    <cfRule type="expression" dxfId="1301" priority="543" stopIfTrue="1">
      <formula>OR($A15="username", $A15="phonenumber", $A15="start", $A15="end", $A15="deviceid", $A15="subscriberid", $A15="simserial", $A15="caseid")</formula>
    </cfRule>
    <cfRule type="expression" dxfId="1300" priority="552" stopIfTrue="1">
      <formula>$A15="end repeat"</formula>
    </cfRule>
    <cfRule type="expression" dxfId="1299" priority="554" stopIfTrue="1">
      <formula>$A15="begin repeat"</formula>
    </cfRule>
    <cfRule type="expression" dxfId="1298" priority="555" stopIfTrue="1">
      <formula>$A15="end group"</formula>
    </cfRule>
  </conditionalFormatting>
  <conditionalFormatting sqref="C15">
    <cfRule type="expression" dxfId="1297" priority="556" stopIfTrue="1">
      <formula>$A15="begin group"</formula>
    </cfRule>
  </conditionalFormatting>
  <conditionalFormatting sqref="C15">
    <cfRule type="expression" dxfId="1296" priority="531" stopIfTrue="1">
      <formula>$A15="image"</formula>
    </cfRule>
    <cfRule type="expression" dxfId="1295" priority="533" stopIfTrue="1">
      <formula>OR($A15="date", $A15="datetime", $A15="time")</formula>
    </cfRule>
    <cfRule type="expression" dxfId="1294" priority="544" stopIfTrue="1">
      <formula>OR(AND(LEFT($A15, 16)="select_multiple ", LEN($A15)&gt;16, NOT(ISNUMBER(SEARCH(" ", $A15, 17)))), AND(LEFT($A15, 11)="select_one ", LEN($A15)&gt;11, NOT(ISNUMBER(SEARCH(" ", $A15, 12)))))</formula>
    </cfRule>
  </conditionalFormatting>
  <conditionalFormatting sqref="C15">
    <cfRule type="expression" dxfId="1293" priority="553" stopIfTrue="1">
      <formula>$A15="begin repeat"</formula>
    </cfRule>
  </conditionalFormatting>
  <conditionalFormatting sqref="C15">
    <cfRule type="expression" dxfId="1292" priority="523" stopIfTrue="1">
      <formula>$A15="file"</formula>
    </cfRule>
    <cfRule type="expression" dxfId="1291" priority="529" stopIfTrue="1">
      <formula>OR($A15="audio", $A15="video")</formula>
    </cfRule>
    <cfRule type="expression" dxfId="1290" priority="536" stopIfTrue="1">
      <formula>$A15="note"</formula>
    </cfRule>
    <cfRule type="expression" dxfId="1289" priority="538" stopIfTrue="1">
      <formula>$A15="barcode"</formula>
    </cfRule>
    <cfRule type="expression" dxfId="1288" priority="540" stopIfTrue="1">
      <formula>OR($A15="geopoint", $A15="geoshape", $A15="geotrace")</formula>
    </cfRule>
  </conditionalFormatting>
  <conditionalFormatting sqref="C15">
    <cfRule type="expression" dxfId="1287" priority="525" stopIfTrue="1">
      <formula>$A15="enumerator"</formula>
    </cfRule>
    <cfRule type="expression" dxfId="1286" priority="550" stopIfTrue="1">
      <formula>$A15="text"</formula>
    </cfRule>
  </conditionalFormatting>
  <conditionalFormatting sqref="C15">
    <cfRule type="expression" dxfId="1285" priority="546" stopIfTrue="1">
      <formula>$A15="decimal"</formula>
    </cfRule>
    <cfRule type="expression" dxfId="1284" priority="548" stopIfTrue="1">
      <formula>$A15="integer"</formula>
    </cfRule>
  </conditionalFormatting>
  <conditionalFormatting sqref="C15">
    <cfRule type="containsText" dxfId="1283" priority="521" operator="containsText" text="old">
      <formula>NOT(ISERROR(SEARCH("old",C15)))</formula>
    </cfRule>
    <cfRule type="containsText" dxfId="1282" priority="522" operator="containsText" text="integer">
      <formula>NOT(ISERROR(SEARCH("integer",C15)))</formula>
    </cfRule>
  </conditionalFormatting>
  <conditionalFormatting sqref="C15">
    <cfRule type="containsText" dxfId="1281" priority="519" operator="containsText" text="dur">
      <formula>NOT(ISERROR(SEARCH("dur",C15)))</formula>
    </cfRule>
    <cfRule type="containsText" dxfId="1280" priority="520" operator="containsText" text="group">
      <formula>NOT(ISERROR(SEARCH("group",C15)))</formula>
    </cfRule>
  </conditionalFormatting>
  <conditionalFormatting sqref="C16">
    <cfRule type="expression" dxfId="1279" priority="489" stopIfTrue="1">
      <formula>$A16="comments"</formula>
    </cfRule>
  </conditionalFormatting>
  <conditionalFormatting sqref="C16">
    <cfRule type="expression" dxfId="1278" priority="485" stopIfTrue="1">
      <formula>$A16="file"</formula>
    </cfRule>
    <cfRule type="expression" dxfId="1277" priority="491" stopIfTrue="1">
      <formula>OR($A16="audio", $A16="video")</formula>
    </cfRule>
    <cfRule type="expression" dxfId="1276" priority="498" stopIfTrue="1">
      <formula>$A16="note"</formula>
    </cfRule>
    <cfRule type="expression" dxfId="1275" priority="500" stopIfTrue="1">
      <formula>$A16="barcode"</formula>
    </cfRule>
    <cfRule type="expression" dxfId="1274" priority="502" stopIfTrue="1">
      <formula>OR($A16="geopoint", $A16="geoshape", $A16="geotrace")</formula>
    </cfRule>
  </conditionalFormatting>
  <conditionalFormatting sqref="C16">
    <cfRule type="expression" dxfId="1273" priority="488" stopIfTrue="1">
      <formula>OR(AND(LEFT($A16, 14)="sensor_stream ", LEN($A16)&gt;14, NOT(ISNUMBER(SEARCH(" ", $A16, 15)))), AND(LEFT($A16, 17)="sensor_statistic ", LEN($A16)&gt;17, NOT(ISNUMBER(SEARCH(" ", $A16, 18)))))</formula>
    </cfRule>
    <cfRule type="expression" dxfId="1272" priority="503" stopIfTrue="1">
      <formula>OR($A16="audio audit", $A16="text audit", $A16="speed violations count", $A16="speed violations list", $A16="speed violations audit")</formula>
    </cfRule>
  </conditionalFormatting>
  <conditionalFormatting sqref="C16">
    <cfRule type="expression" dxfId="1271" priority="496" stopIfTrue="1">
      <formula>OR($A16="calculate", $A16="calculate_here")</formula>
    </cfRule>
  </conditionalFormatting>
  <conditionalFormatting sqref="C16">
    <cfRule type="expression" dxfId="1270" priority="487" stopIfTrue="1">
      <formula>$A16="enumerator"</formula>
    </cfRule>
    <cfRule type="expression" dxfId="1269" priority="493" stopIfTrue="1">
      <formula>$A16="image"</formula>
    </cfRule>
    <cfRule type="expression" dxfId="1268" priority="495" stopIfTrue="1">
      <formula>OR($A16="date", $A16="datetime", $A16="time")</formula>
    </cfRule>
    <cfRule type="expression" dxfId="1267" priority="506" stopIfTrue="1">
      <formula>OR(AND(LEFT($A16, 16)="select_multiple ", LEN($A16)&gt;16, NOT(ISNUMBER(SEARCH(" ", $A16, 17)))), AND(LEFT($A16, 11)="select_one ", LEN($A16)&gt;11, NOT(ISNUMBER(SEARCH(" ", $A16, 12)))))</formula>
    </cfRule>
    <cfRule type="expression" dxfId="1266" priority="508" stopIfTrue="1">
      <formula>$A16="decimal"</formula>
    </cfRule>
    <cfRule type="expression" dxfId="1265" priority="510" stopIfTrue="1">
      <formula>$A16="integer"</formula>
    </cfRule>
    <cfRule type="expression" dxfId="1264" priority="512" stopIfTrue="1">
      <formula>$A16="text"</formula>
    </cfRule>
    <cfRule type="expression" dxfId="1263" priority="518" stopIfTrue="1">
      <formula>$A16="begin group"</formula>
    </cfRule>
  </conditionalFormatting>
  <conditionalFormatting sqref="C16">
    <cfRule type="expression" dxfId="1262" priority="504" stopIfTrue="1">
      <formula>OR($A16="username", $A16="phonenumber", $A16="start", $A16="end", $A16="deviceid", $A16="subscriberid", $A16="simserial", $A16="caseid")</formula>
    </cfRule>
    <cfRule type="expression" dxfId="1261" priority="513" stopIfTrue="1">
      <formula>$A16="end repeat"</formula>
    </cfRule>
    <cfRule type="expression" dxfId="1260" priority="515" stopIfTrue="1">
      <formula>$A16="begin repeat"</formula>
    </cfRule>
    <cfRule type="expression" dxfId="1259" priority="516" stopIfTrue="1">
      <formula>$A16="end group"</formula>
    </cfRule>
  </conditionalFormatting>
  <conditionalFormatting sqref="C16">
    <cfRule type="expression" dxfId="1258" priority="517" stopIfTrue="1">
      <formula>$A16="begin group"</formula>
    </cfRule>
  </conditionalFormatting>
  <conditionalFormatting sqref="C16">
    <cfRule type="expression" dxfId="1257" priority="492" stopIfTrue="1">
      <formula>$A16="image"</formula>
    </cfRule>
    <cfRule type="expression" dxfId="1256" priority="494" stopIfTrue="1">
      <formula>OR($A16="date", $A16="datetime", $A16="time")</formula>
    </cfRule>
    <cfRule type="expression" dxfId="1255" priority="505" stopIfTrue="1">
      <formula>OR(AND(LEFT($A16, 16)="select_multiple ", LEN($A16)&gt;16, NOT(ISNUMBER(SEARCH(" ", $A16, 17)))), AND(LEFT($A16, 11)="select_one ", LEN($A16)&gt;11, NOT(ISNUMBER(SEARCH(" ", $A16, 12)))))</formula>
    </cfRule>
  </conditionalFormatting>
  <conditionalFormatting sqref="C16">
    <cfRule type="expression" dxfId="1254" priority="514" stopIfTrue="1">
      <formula>$A16="begin repeat"</formula>
    </cfRule>
  </conditionalFormatting>
  <conditionalFormatting sqref="C16">
    <cfRule type="expression" dxfId="1253" priority="484" stopIfTrue="1">
      <formula>$A16="file"</formula>
    </cfRule>
    <cfRule type="expression" dxfId="1252" priority="490" stopIfTrue="1">
      <formula>OR($A16="audio", $A16="video")</formula>
    </cfRule>
    <cfRule type="expression" dxfId="1251" priority="497" stopIfTrue="1">
      <formula>$A16="note"</formula>
    </cfRule>
    <cfRule type="expression" dxfId="1250" priority="499" stopIfTrue="1">
      <formula>$A16="barcode"</formula>
    </cfRule>
    <cfRule type="expression" dxfId="1249" priority="501" stopIfTrue="1">
      <formula>OR($A16="geopoint", $A16="geoshape", $A16="geotrace")</formula>
    </cfRule>
  </conditionalFormatting>
  <conditionalFormatting sqref="C16">
    <cfRule type="expression" dxfId="1248" priority="486" stopIfTrue="1">
      <formula>$A16="enumerator"</formula>
    </cfRule>
    <cfRule type="expression" dxfId="1247" priority="511" stopIfTrue="1">
      <formula>$A16="text"</formula>
    </cfRule>
  </conditionalFormatting>
  <conditionalFormatting sqref="C16">
    <cfRule type="expression" dxfId="1246" priority="507" stopIfTrue="1">
      <formula>$A16="decimal"</formula>
    </cfRule>
    <cfRule type="expression" dxfId="1245" priority="509" stopIfTrue="1">
      <formula>$A16="integer"</formula>
    </cfRule>
  </conditionalFormatting>
  <conditionalFormatting sqref="C16">
    <cfRule type="containsText" dxfId="1244" priority="482" operator="containsText" text="old">
      <formula>NOT(ISERROR(SEARCH("old",C16)))</formula>
    </cfRule>
    <cfRule type="containsText" dxfId="1243" priority="483" operator="containsText" text="integer">
      <formula>NOT(ISERROR(SEARCH("integer",C16)))</formula>
    </cfRule>
  </conditionalFormatting>
  <conditionalFormatting sqref="C16">
    <cfRule type="containsText" dxfId="1242" priority="480" operator="containsText" text="dur">
      <formula>NOT(ISERROR(SEARCH("dur",C16)))</formula>
    </cfRule>
    <cfRule type="containsText" dxfId="1241" priority="481" operator="containsText" text="group">
      <formula>NOT(ISERROR(SEARCH("group",C16)))</formula>
    </cfRule>
  </conditionalFormatting>
  <conditionalFormatting sqref="D11">
    <cfRule type="expression" dxfId="1240" priority="411" stopIfTrue="1">
      <formula>$A11="comments"</formula>
    </cfRule>
  </conditionalFormatting>
  <conditionalFormatting sqref="D11">
    <cfRule type="expression" dxfId="1239" priority="407" stopIfTrue="1">
      <formula>$A11="file"</formula>
    </cfRule>
    <cfRule type="expression" dxfId="1238" priority="413" stopIfTrue="1">
      <formula>OR($A11="audio", $A11="video")</formula>
    </cfRule>
    <cfRule type="expression" dxfId="1237" priority="420" stopIfTrue="1">
      <formula>$A11="note"</formula>
    </cfRule>
    <cfRule type="expression" dxfId="1236" priority="422" stopIfTrue="1">
      <formula>$A11="barcode"</formula>
    </cfRule>
    <cfRule type="expression" dxfId="1235" priority="424" stopIfTrue="1">
      <formula>OR($A11="geopoint", $A11="geoshape", $A11="geotrace")</formula>
    </cfRule>
  </conditionalFormatting>
  <conditionalFormatting sqref="D11">
    <cfRule type="expression" dxfId="1234" priority="410" stopIfTrue="1">
      <formula>OR(AND(LEFT($A11, 14)="sensor_stream ", LEN($A11)&gt;14, NOT(ISNUMBER(SEARCH(" ", $A11, 15)))), AND(LEFT($A11, 17)="sensor_statistic ", LEN($A11)&gt;17, NOT(ISNUMBER(SEARCH(" ", $A11, 18)))))</formula>
    </cfRule>
    <cfRule type="expression" dxfId="1233" priority="425" stopIfTrue="1">
      <formula>OR($A11="audio audit", $A11="text audit", $A11="speed violations count", $A11="speed violations list", $A11="speed violations audit")</formula>
    </cfRule>
  </conditionalFormatting>
  <conditionalFormatting sqref="D11">
    <cfRule type="expression" dxfId="1232" priority="418" stopIfTrue="1">
      <formula>OR($A11="calculate", $A11="calculate_here")</formula>
    </cfRule>
  </conditionalFormatting>
  <conditionalFormatting sqref="D11">
    <cfRule type="expression" dxfId="1231" priority="409" stopIfTrue="1">
      <formula>$A11="enumerator"</formula>
    </cfRule>
    <cfRule type="expression" dxfId="1230" priority="415" stopIfTrue="1">
      <formula>$A11="image"</formula>
    </cfRule>
    <cfRule type="expression" dxfId="1229" priority="417" stopIfTrue="1">
      <formula>OR($A11="date", $A11="datetime", $A11="time")</formula>
    </cfRule>
    <cfRule type="expression" dxfId="1228" priority="428" stopIfTrue="1">
      <formula>OR(AND(LEFT($A11, 16)="select_multiple ", LEN($A11)&gt;16, NOT(ISNUMBER(SEARCH(" ", $A11, 17)))), AND(LEFT($A11, 11)="select_one ", LEN($A11)&gt;11, NOT(ISNUMBER(SEARCH(" ", $A11, 12)))))</formula>
    </cfRule>
    <cfRule type="expression" dxfId="1227" priority="430" stopIfTrue="1">
      <formula>$A11="decimal"</formula>
    </cfRule>
    <cfRule type="expression" dxfId="1226" priority="432" stopIfTrue="1">
      <formula>$A11="integer"</formula>
    </cfRule>
    <cfRule type="expression" dxfId="1225" priority="434" stopIfTrue="1">
      <formula>$A11="text"</formula>
    </cfRule>
    <cfRule type="expression" dxfId="1224" priority="440" stopIfTrue="1">
      <formula>$A11="begin group"</formula>
    </cfRule>
  </conditionalFormatting>
  <conditionalFormatting sqref="D11">
    <cfRule type="expression" dxfId="1223" priority="426" stopIfTrue="1">
      <formula>OR($A11="username", $A11="phonenumber", $A11="start", $A11="end", $A11="deviceid", $A11="subscriberid", $A11="simserial", $A11="caseid")</formula>
    </cfRule>
    <cfRule type="expression" dxfId="1222" priority="435" stopIfTrue="1">
      <formula>$A11="end repeat"</formula>
    </cfRule>
    <cfRule type="expression" dxfId="1221" priority="437" stopIfTrue="1">
      <formula>$A11="begin repeat"</formula>
    </cfRule>
    <cfRule type="expression" dxfId="1220" priority="438" stopIfTrue="1">
      <formula>$A11="end group"</formula>
    </cfRule>
  </conditionalFormatting>
  <conditionalFormatting sqref="D11">
    <cfRule type="expression" dxfId="1219" priority="439" stopIfTrue="1">
      <formula>$A11="begin group"</formula>
    </cfRule>
  </conditionalFormatting>
  <conditionalFormatting sqref="D11">
    <cfRule type="expression" dxfId="1218" priority="414" stopIfTrue="1">
      <formula>$A11="image"</formula>
    </cfRule>
    <cfRule type="expression" dxfId="1217" priority="416" stopIfTrue="1">
      <formula>OR($A11="date", $A11="datetime", $A11="time")</formula>
    </cfRule>
    <cfRule type="expression" dxfId="1216" priority="427" stopIfTrue="1">
      <formula>OR(AND(LEFT($A11, 16)="select_multiple ", LEN($A11)&gt;16, NOT(ISNUMBER(SEARCH(" ", $A11, 17)))), AND(LEFT($A11, 11)="select_one ", LEN($A11)&gt;11, NOT(ISNUMBER(SEARCH(" ", $A11, 12)))))</formula>
    </cfRule>
  </conditionalFormatting>
  <conditionalFormatting sqref="D11">
    <cfRule type="expression" dxfId="1215" priority="436" stopIfTrue="1">
      <formula>$A11="begin repeat"</formula>
    </cfRule>
  </conditionalFormatting>
  <conditionalFormatting sqref="D11">
    <cfRule type="expression" dxfId="1214" priority="406" stopIfTrue="1">
      <formula>$A11="file"</formula>
    </cfRule>
    <cfRule type="expression" dxfId="1213" priority="412" stopIfTrue="1">
      <formula>OR($A11="audio", $A11="video")</formula>
    </cfRule>
    <cfRule type="expression" dxfId="1212" priority="419" stopIfTrue="1">
      <formula>$A11="note"</formula>
    </cfRule>
    <cfRule type="expression" dxfId="1211" priority="421" stopIfTrue="1">
      <formula>$A11="barcode"</formula>
    </cfRule>
    <cfRule type="expression" dxfId="1210" priority="423" stopIfTrue="1">
      <formula>OR($A11="geopoint", $A11="geoshape", $A11="geotrace")</formula>
    </cfRule>
  </conditionalFormatting>
  <conditionalFormatting sqref="D11">
    <cfRule type="expression" dxfId="1209" priority="408" stopIfTrue="1">
      <formula>$A11="enumerator"</formula>
    </cfRule>
    <cfRule type="expression" dxfId="1208" priority="433" stopIfTrue="1">
      <formula>$A11="text"</formula>
    </cfRule>
  </conditionalFormatting>
  <conditionalFormatting sqref="D11">
    <cfRule type="expression" dxfId="1207" priority="429" stopIfTrue="1">
      <formula>$A11="decimal"</formula>
    </cfRule>
    <cfRule type="expression" dxfId="1206" priority="431" stopIfTrue="1">
      <formula>$A11="integer"</formula>
    </cfRule>
  </conditionalFormatting>
  <conditionalFormatting sqref="D11">
    <cfRule type="containsText" dxfId="1205" priority="404" operator="containsText" text="old">
      <formula>NOT(ISERROR(SEARCH("old",D11)))</formula>
    </cfRule>
    <cfRule type="containsText" dxfId="1204" priority="405" operator="containsText" text="integer">
      <formula>NOT(ISERROR(SEARCH("integer",D11)))</formula>
    </cfRule>
  </conditionalFormatting>
  <conditionalFormatting sqref="D11">
    <cfRule type="containsText" dxfId="1203" priority="402" operator="containsText" text="dur">
      <formula>NOT(ISERROR(SEARCH("dur",D11)))</formula>
    </cfRule>
    <cfRule type="containsText" dxfId="1202" priority="403" operator="containsText" text="group">
      <formula>NOT(ISERROR(SEARCH("group",D11)))</formula>
    </cfRule>
  </conditionalFormatting>
  <conditionalFormatting sqref="D10">
    <cfRule type="expression" dxfId="1201" priority="381" stopIfTrue="1">
      <formula>$A10="comments"</formula>
    </cfRule>
  </conditionalFormatting>
  <conditionalFormatting sqref="D10">
    <cfRule type="expression" dxfId="1200" priority="377" stopIfTrue="1">
      <formula>$A10="file"</formula>
    </cfRule>
    <cfRule type="expression" dxfId="1199" priority="382" stopIfTrue="1">
      <formula>OR($A10="audio", $A10="video")</formula>
    </cfRule>
    <cfRule type="expression" dxfId="1198" priority="386" stopIfTrue="1">
      <formula>$A10="note"</formula>
    </cfRule>
    <cfRule type="expression" dxfId="1197" priority="387" stopIfTrue="1">
      <formula>$A10="barcode"</formula>
    </cfRule>
    <cfRule type="expression" dxfId="1196" priority="388" stopIfTrue="1">
      <formula>OR($A10="geopoint", $A10="geoshape", $A10="geotrace")</formula>
    </cfRule>
  </conditionalFormatting>
  <conditionalFormatting sqref="D10">
    <cfRule type="expression" dxfId="1195" priority="380" stopIfTrue="1">
      <formula>OR(AND(LEFT($A10, 14)="sensor_stream ", LEN($A10)&gt;14, NOT(ISNUMBER(SEARCH(" ", $A10, 15)))), AND(LEFT($A10, 17)="sensor_statistic ", LEN($A10)&gt;17, NOT(ISNUMBER(SEARCH(" ", $A10, 18)))))</formula>
    </cfRule>
    <cfRule type="expression" dxfId="1194" priority="389" stopIfTrue="1">
      <formula>OR($A10="audio audit", $A10="text audit", $A10="speed violations count", $A10="speed violations list", $A10="speed violations audit")</formula>
    </cfRule>
  </conditionalFormatting>
  <conditionalFormatting sqref="D10">
    <cfRule type="expression" dxfId="1193" priority="385" stopIfTrue="1">
      <formula>OR($A10="calculate", $A10="calculate_here")</formula>
    </cfRule>
  </conditionalFormatting>
  <conditionalFormatting sqref="D10">
    <cfRule type="expression" dxfId="1192" priority="379" stopIfTrue="1">
      <formula>$A10="enumerator"</formula>
    </cfRule>
    <cfRule type="expression" dxfId="1191" priority="383" stopIfTrue="1">
      <formula>$A10="image"</formula>
    </cfRule>
    <cfRule type="expression" dxfId="1190" priority="384" stopIfTrue="1">
      <formula>OR($A10="date", $A10="datetime", $A10="time")</formula>
    </cfRule>
    <cfRule type="expression" dxfId="1189" priority="391" stopIfTrue="1">
      <formula>OR(AND(LEFT($A10, 16)="select_multiple ", LEN($A10)&gt;16, NOT(ISNUMBER(SEARCH(" ", $A10, 17)))), AND(LEFT($A10, 11)="select_one ", LEN($A10)&gt;11, NOT(ISNUMBER(SEARCH(" ", $A10, 12)))))</formula>
    </cfRule>
    <cfRule type="expression" dxfId="1188" priority="393" stopIfTrue="1">
      <formula>$A10="decimal"</formula>
    </cfRule>
    <cfRule type="expression" dxfId="1187" priority="395" stopIfTrue="1">
      <formula>$A10="integer"</formula>
    </cfRule>
    <cfRule type="expression" dxfId="1186" priority="397" stopIfTrue="1">
      <formula>$A10="text"</formula>
    </cfRule>
    <cfRule type="expression" dxfId="1185" priority="401" stopIfTrue="1">
      <formula>$A10="begin group"</formula>
    </cfRule>
  </conditionalFormatting>
  <conditionalFormatting sqref="D10">
    <cfRule type="expression" dxfId="1184" priority="390" stopIfTrue="1">
      <formula>OR($A10="username", $A10="phonenumber", $A10="start", $A10="end", $A10="deviceid", $A10="subscriberid", $A10="simserial", $A10="caseid")</formula>
    </cfRule>
    <cfRule type="expression" dxfId="1183" priority="398" stopIfTrue="1">
      <formula>$A10="end repeat"</formula>
    </cfRule>
    <cfRule type="expression" dxfId="1182" priority="399" stopIfTrue="1">
      <formula>$A10="begin repeat"</formula>
    </cfRule>
    <cfRule type="expression" dxfId="1181" priority="400" stopIfTrue="1">
      <formula>$A10="end group"</formula>
    </cfRule>
  </conditionalFormatting>
  <conditionalFormatting sqref="D10">
    <cfRule type="expression" dxfId="1180" priority="378" stopIfTrue="1">
      <formula>$A10="enumerator"</formula>
    </cfRule>
    <cfRule type="expression" dxfId="1179" priority="396" stopIfTrue="1">
      <formula>$A10="text"</formula>
    </cfRule>
  </conditionalFormatting>
  <conditionalFormatting sqref="D10">
    <cfRule type="expression" dxfId="1178" priority="392" stopIfTrue="1">
      <formula>$A10="decimal"</formula>
    </cfRule>
    <cfRule type="expression" dxfId="1177" priority="394" stopIfTrue="1">
      <formula>$A10="integer"</formula>
    </cfRule>
  </conditionalFormatting>
  <conditionalFormatting sqref="D10">
    <cfRule type="containsText" dxfId="1176" priority="375" operator="containsText" text="old">
      <formula>NOT(ISERROR(SEARCH("old",D10)))</formula>
    </cfRule>
    <cfRule type="containsText" dxfId="1175" priority="376" operator="containsText" text="integer">
      <formula>NOT(ISERROR(SEARCH("integer",D10)))</formula>
    </cfRule>
  </conditionalFormatting>
  <conditionalFormatting sqref="D10">
    <cfRule type="containsText" dxfId="1174" priority="373" operator="containsText" text="dur">
      <formula>NOT(ISERROR(SEARCH("dur",D10)))</formula>
    </cfRule>
    <cfRule type="containsText" dxfId="1173" priority="374" operator="containsText" text="group">
      <formula>NOT(ISERROR(SEARCH("group",D10)))</formula>
    </cfRule>
  </conditionalFormatting>
  <conditionalFormatting sqref="D7">
    <cfRule type="expression" dxfId="1172" priority="343" stopIfTrue="1">
      <formula>$A7="comments"</formula>
    </cfRule>
  </conditionalFormatting>
  <conditionalFormatting sqref="D7">
    <cfRule type="expression" dxfId="1171" priority="339" stopIfTrue="1">
      <formula>$A7="file"</formula>
    </cfRule>
    <cfRule type="expression" dxfId="1170" priority="345" stopIfTrue="1">
      <formula>OR($A7="audio", $A7="video")</formula>
    </cfRule>
    <cfRule type="expression" dxfId="1169" priority="352" stopIfTrue="1">
      <formula>$A7="note"</formula>
    </cfRule>
    <cfRule type="expression" dxfId="1168" priority="354" stopIfTrue="1">
      <formula>$A7="barcode"</formula>
    </cfRule>
    <cfRule type="expression" dxfId="1167" priority="356" stopIfTrue="1">
      <formula>OR($A7="geopoint", $A7="geoshape", $A7="geotrace")</formula>
    </cfRule>
  </conditionalFormatting>
  <conditionalFormatting sqref="D7">
    <cfRule type="expression" dxfId="1166" priority="342" stopIfTrue="1">
      <formula>OR(AND(LEFT($A7, 14)="sensor_stream ", LEN($A7)&gt;14, NOT(ISNUMBER(SEARCH(" ", $A7, 15)))), AND(LEFT($A7, 17)="sensor_statistic ", LEN($A7)&gt;17, NOT(ISNUMBER(SEARCH(" ", $A7, 18)))))</formula>
    </cfRule>
    <cfRule type="expression" dxfId="1165" priority="357" stopIfTrue="1">
      <formula>OR($A7="audio audit", $A7="text audit", $A7="speed violations count", $A7="speed violations list", $A7="speed violations audit")</formula>
    </cfRule>
  </conditionalFormatting>
  <conditionalFormatting sqref="D7">
    <cfRule type="expression" dxfId="1164" priority="350" stopIfTrue="1">
      <formula>OR($A7="calculate", $A7="calculate_here")</formula>
    </cfRule>
  </conditionalFormatting>
  <conditionalFormatting sqref="D7">
    <cfRule type="expression" dxfId="1163" priority="341" stopIfTrue="1">
      <formula>$A7="enumerator"</formula>
    </cfRule>
    <cfRule type="expression" dxfId="1162" priority="347" stopIfTrue="1">
      <formula>$A7="image"</formula>
    </cfRule>
    <cfRule type="expression" dxfId="1161" priority="349" stopIfTrue="1">
      <formula>OR($A7="date", $A7="datetime", $A7="time")</formula>
    </cfRule>
    <cfRule type="expression" dxfId="1160" priority="360" stopIfTrue="1">
      <formula>OR(AND(LEFT($A7, 16)="select_multiple ", LEN($A7)&gt;16, NOT(ISNUMBER(SEARCH(" ", $A7, 17)))), AND(LEFT($A7, 11)="select_one ", LEN($A7)&gt;11, NOT(ISNUMBER(SEARCH(" ", $A7, 12)))))</formula>
    </cfRule>
    <cfRule type="expression" dxfId="1159" priority="362" stopIfTrue="1">
      <formula>$A7="decimal"</formula>
    </cfRule>
    <cfRule type="expression" dxfId="1158" priority="364" stopIfTrue="1">
      <formula>$A7="integer"</formula>
    </cfRule>
    <cfRule type="expression" dxfId="1157" priority="366" stopIfTrue="1">
      <formula>$A7="text"</formula>
    </cfRule>
    <cfRule type="expression" dxfId="1156" priority="372" stopIfTrue="1">
      <formula>$A7="begin group"</formula>
    </cfRule>
  </conditionalFormatting>
  <conditionalFormatting sqref="D7">
    <cfRule type="expression" dxfId="1155" priority="358" stopIfTrue="1">
      <formula>OR($A7="username", $A7="phonenumber", $A7="start", $A7="end", $A7="deviceid", $A7="subscriberid", $A7="simserial", $A7="caseid")</formula>
    </cfRule>
    <cfRule type="expression" dxfId="1154" priority="367" stopIfTrue="1">
      <formula>$A7="end repeat"</formula>
    </cfRule>
    <cfRule type="expression" dxfId="1153" priority="369" stopIfTrue="1">
      <formula>$A7="begin repeat"</formula>
    </cfRule>
    <cfRule type="expression" dxfId="1152" priority="370" stopIfTrue="1">
      <formula>$A7="end group"</formula>
    </cfRule>
  </conditionalFormatting>
  <conditionalFormatting sqref="D7">
    <cfRule type="expression" dxfId="1151" priority="371" stopIfTrue="1">
      <formula>$A7="begin group"</formula>
    </cfRule>
  </conditionalFormatting>
  <conditionalFormatting sqref="D7">
    <cfRule type="expression" dxfId="1150" priority="346" stopIfTrue="1">
      <formula>$A7="image"</formula>
    </cfRule>
    <cfRule type="expression" dxfId="1149" priority="348" stopIfTrue="1">
      <formula>OR($A7="date", $A7="datetime", $A7="time")</formula>
    </cfRule>
    <cfRule type="expression" dxfId="1148" priority="359" stopIfTrue="1">
      <formula>OR(AND(LEFT($A7, 16)="select_multiple ", LEN($A7)&gt;16, NOT(ISNUMBER(SEARCH(" ", $A7, 17)))), AND(LEFT($A7, 11)="select_one ", LEN($A7)&gt;11, NOT(ISNUMBER(SEARCH(" ", $A7, 12)))))</formula>
    </cfRule>
  </conditionalFormatting>
  <conditionalFormatting sqref="D7">
    <cfRule type="expression" dxfId="1147" priority="368" stopIfTrue="1">
      <formula>$A7="begin repeat"</formula>
    </cfRule>
  </conditionalFormatting>
  <conditionalFormatting sqref="D7">
    <cfRule type="expression" dxfId="1146" priority="338" stopIfTrue="1">
      <formula>$A7="file"</formula>
    </cfRule>
    <cfRule type="expression" dxfId="1145" priority="344" stopIfTrue="1">
      <formula>OR($A7="audio", $A7="video")</formula>
    </cfRule>
    <cfRule type="expression" dxfId="1144" priority="351" stopIfTrue="1">
      <formula>$A7="note"</formula>
    </cfRule>
    <cfRule type="expression" dxfId="1143" priority="353" stopIfTrue="1">
      <formula>$A7="barcode"</formula>
    </cfRule>
    <cfRule type="expression" dxfId="1142" priority="355" stopIfTrue="1">
      <formula>OR($A7="geopoint", $A7="geoshape", $A7="geotrace")</formula>
    </cfRule>
  </conditionalFormatting>
  <conditionalFormatting sqref="D7">
    <cfRule type="expression" dxfId="1141" priority="340" stopIfTrue="1">
      <formula>$A7="enumerator"</formula>
    </cfRule>
    <cfRule type="expression" dxfId="1140" priority="365" stopIfTrue="1">
      <formula>$A7="text"</formula>
    </cfRule>
  </conditionalFormatting>
  <conditionalFormatting sqref="D7">
    <cfRule type="expression" dxfId="1139" priority="361" stopIfTrue="1">
      <formula>$A7="decimal"</formula>
    </cfRule>
    <cfRule type="expression" dxfId="1138" priority="363" stopIfTrue="1">
      <formula>$A7="integer"</formula>
    </cfRule>
  </conditionalFormatting>
  <conditionalFormatting sqref="D7">
    <cfRule type="containsText" dxfId="1137" priority="336" operator="containsText" text="old">
      <formula>NOT(ISERROR(SEARCH("old",D7)))</formula>
    </cfRule>
    <cfRule type="containsText" dxfId="1136" priority="337" operator="containsText" text="integer">
      <formula>NOT(ISERROR(SEARCH("integer",D7)))</formula>
    </cfRule>
  </conditionalFormatting>
  <conditionalFormatting sqref="D7">
    <cfRule type="containsText" dxfId="1135" priority="334" operator="containsText" text="dur">
      <formula>NOT(ISERROR(SEARCH("dur",D7)))</formula>
    </cfRule>
    <cfRule type="containsText" dxfId="1134" priority="335" operator="containsText" text="group">
      <formula>NOT(ISERROR(SEARCH("group",D7)))</formula>
    </cfRule>
  </conditionalFormatting>
  <conditionalFormatting sqref="D8">
    <cfRule type="expression" dxfId="1133" priority="304" stopIfTrue="1">
      <formula>$A8="comments"</formula>
    </cfRule>
  </conditionalFormatting>
  <conditionalFormatting sqref="D8">
    <cfRule type="expression" dxfId="1132" priority="300" stopIfTrue="1">
      <formula>$A8="file"</formula>
    </cfRule>
    <cfRule type="expression" dxfId="1131" priority="306" stopIfTrue="1">
      <formula>OR($A8="audio", $A8="video")</formula>
    </cfRule>
    <cfRule type="expression" dxfId="1130" priority="313" stopIfTrue="1">
      <formula>$A8="note"</formula>
    </cfRule>
    <cfRule type="expression" dxfId="1129" priority="315" stopIfTrue="1">
      <formula>$A8="barcode"</formula>
    </cfRule>
    <cfRule type="expression" dxfId="1128" priority="317" stopIfTrue="1">
      <formula>OR($A8="geopoint", $A8="geoshape", $A8="geotrace")</formula>
    </cfRule>
  </conditionalFormatting>
  <conditionalFormatting sqref="D8">
    <cfRule type="expression" dxfId="1127" priority="303" stopIfTrue="1">
      <formula>OR(AND(LEFT($A8, 14)="sensor_stream ", LEN($A8)&gt;14, NOT(ISNUMBER(SEARCH(" ", $A8, 15)))), AND(LEFT($A8, 17)="sensor_statistic ", LEN($A8)&gt;17, NOT(ISNUMBER(SEARCH(" ", $A8, 18)))))</formula>
    </cfRule>
    <cfRule type="expression" dxfId="1126" priority="318" stopIfTrue="1">
      <formula>OR($A8="audio audit", $A8="text audit", $A8="speed violations count", $A8="speed violations list", $A8="speed violations audit")</formula>
    </cfRule>
  </conditionalFormatting>
  <conditionalFormatting sqref="D8">
    <cfRule type="expression" dxfId="1125" priority="311" stopIfTrue="1">
      <formula>OR($A8="calculate", $A8="calculate_here")</formula>
    </cfRule>
  </conditionalFormatting>
  <conditionalFormatting sqref="D8">
    <cfRule type="expression" dxfId="1124" priority="302" stopIfTrue="1">
      <formula>$A8="enumerator"</formula>
    </cfRule>
    <cfRule type="expression" dxfId="1123" priority="308" stopIfTrue="1">
      <formula>$A8="image"</formula>
    </cfRule>
    <cfRule type="expression" dxfId="1122" priority="310" stopIfTrue="1">
      <formula>OR($A8="date", $A8="datetime", $A8="time")</formula>
    </cfRule>
    <cfRule type="expression" dxfId="1121" priority="321" stopIfTrue="1">
      <formula>OR(AND(LEFT($A8, 16)="select_multiple ", LEN($A8)&gt;16, NOT(ISNUMBER(SEARCH(" ", $A8, 17)))), AND(LEFT($A8, 11)="select_one ", LEN($A8)&gt;11, NOT(ISNUMBER(SEARCH(" ", $A8, 12)))))</formula>
    </cfRule>
    <cfRule type="expression" dxfId="1120" priority="323" stopIfTrue="1">
      <formula>$A8="decimal"</formula>
    </cfRule>
    <cfRule type="expression" dxfId="1119" priority="325" stopIfTrue="1">
      <formula>$A8="integer"</formula>
    </cfRule>
    <cfRule type="expression" dxfId="1118" priority="327" stopIfTrue="1">
      <formula>$A8="text"</formula>
    </cfRule>
    <cfRule type="expression" dxfId="1117" priority="333" stopIfTrue="1">
      <formula>$A8="begin group"</formula>
    </cfRule>
  </conditionalFormatting>
  <conditionalFormatting sqref="D8">
    <cfRule type="expression" dxfId="1116" priority="319" stopIfTrue="1">
      <formula>OR($A8="username", $A8="phonenumber", $A8="start", $A8="end", $A8="deviceid", $A8="subscriberid", $A8="simserial", $A8="caseid")</formula>
    </cfRule>
    <cfRule type="expression" dxfId="1115" priority="328" stopIfTrue="1">
      <formula>$A8="end repeat"</formula>
    </cfRule>
    <cfRule type="expression" dxfId="1114" priority="330" stopIfTrue="1">
      <formula>$A8="begin repeat"</formula>
    </cfRule>
    <cfRule type="expression" dxfId="1113" priority="331" stopIfTrue="1">
      <formula>$A8="end group"</formula>
    </cfRule>
  </conditionalFormatting>
  <conditionalFormatting sqref="D8">
    <cfRule type="expression" dxfId="1112" priority="332" stopIfTrue="1">
      <formula>$A8="begin group"</formula>
    </cfRule>
  </conditionalFormatting>
  <conditionalFormatting sqref="D8">
    <cfRule type="expression" dxfId="1111" priority="307" stopIfTrue="1">
      <formula>$A8="image"</formula>
    </cfRule>
    <cfRule type="expression" dxfId="1110" priority="309" stopIfTrue="1">
      <formula>OR($A8="date", $A8="datetime", $A8="time")</formula>
    </cfRule>
    <cfRule type="expression" dxfId="1109" priority="320" stopIfTrue="1">
      <formula>OR(AND(LEFT($A8, 16)="select_multiple ", LEN($A8)&gt;16, NOT(ISNUMBER(SEARCH(" ", $A8, 17)))), AND(LEFT($A8, 11)="select_one ", LEN($A8)&gt;11, NOT(ISNUMBER(SEARCH(" ", $A8, 12)))))</formula>
    </cfRule>
  </conditionalFormatting>
  <conditionalFormatting sqref="D8">
    <cfRule type="expression" dxfId="1108" priority="329" stopIfTrue="1">
      <formula>$A8="begin repeat"</formula>
    </cfRule>
  </conditionalFormatting>
  <conditionalFormatting sqref="D8">
    <cfRule type="expression" dxfId="1107" priority="299" stopIfTrue="1">
      <formula>$A8="file"</formula>
    </cfRule>
    <cfRule type="expression" dxfId="1106" priority="305" stopIfTrue="1">
      <formula>OR($A8="audio", $A8="video")</formula>
    </cfRule>
    <cfRule type="expression" dxfId="1105" priority="312" stopIfTrue="1">
      <formula>$A8="note"</formula>
    </cfRule>
    <cfRule type="expression" dxfId="1104" priority="314" stopIfTrue="1">
      <formula>$A8="barcode"</formula>
    </cfRule>
    <cfRule type="expression" dxfId="1103" priority="316" stopIfTrue="1">
      <formula>OR($A8="geopoint", $A8="geoshape", $A8="geotrace")</formula>
    </cfRule>
  </conditionalFormatting>
  <conditionalFormatting sqref="D8">
    <cfRule type="expression" dxfId="1102" priority="301" stopIfTrue="1">
      <formula>$A8="enumerator"</formula>
    </cfRule>
    <cfRule type="expression" dxfId="1101" priority="326" stopIfTrue="1">
      <formula>$A8="text"</formula>
    </cfRule>
  </conditionalFormatting>
  <conditionalFormatting sqref="D8">
    <cfRule type="expression" dxfId="1100" priority="322" stopIfTrue="1">
      <formula>$A8="decimal"</formula>
    </cfRule>
    <cfRule type="expression" dxfId="1099" priority="324" stopIfTrue="1">
      <formula>$A8="integer"</formula>
    </cfRule>
  </conditionalFormatting>
  <conditionalFormatting sqref="D8">
    <cfRule type="containsText" dxfId="1098" priority="297" operator="containsText" text="old">
      <formula>NOT(ISERROR(SEARCH("old",D8)))</formula>
    </cfRule>
    <cfRule type="containsText" dxfId="1097" priority="298" operator="containsText" text="integer">
      <formula>NOT(ISERROR(SEARCH("integer",D8)))</formula>
    </cfRule>
  </conditionalFormatting>
  <conditionalFormatting sqref="D8">
    <cfRule type="containsText" dxfId="1096" priority="295" operator="containsText" text="dur">
      <formula>NOT(ISERROR(SEARCH("dur",D8)))</formula>
    </cfRule>
    <cfRule type="containsText" dxfId="1095" priority="296" operator="containsText" text="group">
      <formula>NOT(ISERROR(SEARCH("group",D8)))</formula>
    </cfRule>
  </conditionalFormatting>
  <conditionalFormatting sqref="D6">
    <cfRule type="expression" dxfId="1094" priority="265" stopIfTrue="1">
      <formula>$A6="comments"</formula>
    </cfRule>
  </conditionalFormatting>
  <conditionalFormatting sqref="D6">
    <cfRule type="expression" dxfId="1093" priority="261" stopIfTrue="1">
      <formula>$A6="file"</formula>
    </cfRule>
    <cfRule type="expression" dxfId="1092" priority="267" stopIfTrue="1">
      <formula>OR($A6="audio", $A6="video")</formula>
    </cfRule>
    <cfRule type="expression" dxfId="1091" priority="274" stopIfTrue="1">
      <formula>$A6="note"</formula>
    </cfRule>
    <cfRule type="expression" dxfId="1090" priority="276" stopIfTrue="1">
      <formula>$A6="barcode"</formula>
    </cfRule>
    <cfRule type="expression" dxfId="1089" priority="278" stopIfTrue="1">
      <formula>OR($A6="geopoint", $A6="geoshape", $A6="geotrace")</formula>
    </cfRule>
  </conditionalFormatting>
  <conditionalFormatting sqref="D6">
    <cfRule type="expression" dxfId="1088" priority="264" stopIfTrue="1">
      <formula>OR(AND(LEFT($A6, 14)="sensor_stream ", LEN($A6)&gt;14, NOT(ISNUMBER(SEARCH(" ", $A6, 15)))), AND(LEFT($A6, 17)="sensor_statistic ", LEN($A6)&gt;17, NOT(ISNUMBER(SEARCH(" ", $A6, 18)))))</formula>
    </cfRule>
    <cfRule type="expression" dxfId="1087" priority="279" stopIfTrue="1">
      <formula>OR($A6="audio audit", $A6="text audit", $A6="speed violations count", $A6="speed violations list", $A6="speed violations audit")</formula>
    </cfRule>
  </conditionalFormatting>
  <conditionalFormatting sqref="D6">
    <cfRule type="expression" dxfId="1086" priority="272" stopIfTrue="1">
      <formula>OR($A6="calculate", $A6="calculate_here")</formula>
    </cfRule>
  </conditionalFormatting>
  <conditionalFormatting sqref="D6">
    <cfRule type="expression" dxfId="1085" priority="263" stopIfTrue="1">
      <formula>$A6="enumerator"</formula>
    </cfRule>
    <cfRule type="expression" dxfId="1084" priority="269" stopIfTrue="1">
      <formula>$A6="image"</formula>
    </cfRule>
    <cfRule type="expression" dxfId="1083" priority="271" stopIfTrue="1">
      <formula>OR($A6="date", $A6="datetime", $A6="time")</formula>
    </cfRule>
    <cfRule type="expression" dxfId="1082" priority="282" stopIfTrue="1">
      <formula>OR(AND(LEFT($A6, 16)="select_multiple ", LEN($A6)&gt;16, NOT(ISNUMBER(SEARCH(" ", $A6, 17)))), AND(LEFT($A6, 11)="select_one ", LEN($A6)&gt;11, NOT(ISNUMBER(SEARCH(" ", $A6, 12)))))</formula>
    </cfRule>
    <cfRule type="expression" dxfId="1081" priority="284" stopIfTrue="1">
      <formula>$A6="decimal"</formula>
    </cfRule>
    <cfRule type="expression" dxfId="1080" priority="286" stopIfTrue="1">
      <formula>$A6="integer"</formula>
    </cfRule>
    <cfRule type="expression" dxfId="1079" priority="288" stopIfTrue="1">
      <formula>$A6="text"</formula>
    </cfRule>
    <cfRule type="expression" dxfId="1078" priority="294" stopIfTrue="1">
      <formula>$A6="begin group"</formula>
    </cfRule>
  </conditionalFormatting>
  <conditionalFormatting sqref="D6">
    <cfRule type="expression" dxfId="1077" priority="280" stopIfTrue="1">
      <formula>OR($A6="username", $A6="phonenumber", $A6="start", $A6="end", $A6="deviceid", $A6="subscriberid", $A6="simserial", $A6="caseid")</formula>
    </cfRule>
    <cfRule type="expression" dxfId="1076" priority="289" stopIfTrue="1">
      <formula>$A6="end repeat"</formula>
    </cfRule>
    <cfRule type="expression" dxfId="1075" priority="291" stopIfTrue="1">
      <formula>$A6="begin repeat"</formula>
    </cfRule>
    <cfRule type="expression" dxfId="1074" priority="292" stopIfTrue="1">
      <formula>$A6="end group"</formula>
    </cfRule>
  </conditionalFormatting>
  <conditionalFormatting sqref="D6">
    <cfRule type="expression" dxfId="1073" priority="293" stopIfTrue="1">
      <formula>$A6="begin group"</formula>
    </cfRule>
  </conditionalFormatting>
  <conditionalFormatting sqref="D6">
    <cfRule type="expression" dxfId="1072" priority="268" stopIfTrue="1">
      <formula>$A6="image"</formula>
    </cfRule>
    <cfRule type="expression" dxfId="1071" priority="270" stopIfTrue="1">
      <formula>OR($A6="date", $A6="datetime", $A6="time")</formula>
    </cfRule>
    <cfRule type="expression" dxfId="1070" priority="281" stopIfTrue="1">
      <formula>OR(AND(LEFT($A6, 16)="select_multiple ", LEN($A6)&gt;16, NOT(ISNUMBER(SEARCH(" ", $A6, 17)))), AND(LEFT($A6, 11)="select_one ", LEN($A6)&gt;11, NOT(ISNUMBER(SEARCH(" ", $A6, 12)))))</formula>
    </cfRule>
  </conditionalFormatting>
  <conditionalFormatting sqref="D6">
    <cfRule type="expression" dxfId="1069" priority="290" stopIfTrue="1">
      <formula>$A6="begin repeat"</formula>
    </cfRule>
  </conditionalFormatting>
  <conditionalFormatting sqref="D6">
    <cfRule type="expression" dxfId="1068" priority="260" stopIfTrue="1">
      <formula>$A6="file"</formula>
    </cfRule>
    <cfRule type="expression" dxfId="1067" priority="266" stopIfTrue="1">
      <formula>OR($A6="audio", $A6="video")</formula>
    </cfRule>
    <cfRule type="expression" dxfId="1066" priority="273" stopIfTrue="1">
      <formula>$A6="note"</formula>
    </cfRule>
    <cfRule type="expression" dxfId="1065" priority="275" stopIfTrue="1">
      <formula>$A6="barcode"</formula>
    </cfRule>
    <cfRule type="expression" dxfId="1064" priority="277" stopIfTrue="1">
      <formula>OR($A6="geopoint", $A6="geoshape", $A6="geotrace")</formula>
    </cfRule>
  </conditionalFormatting>
  <conditionalFormatting sqref="D6">
    <cfRule type="expression" dxfId="1063" priority="262" stopIfTrue="1">
      <formula>$A6="enumerator"</formula>
    </cfRule>
    <cfRule type="expression" dxfId="1062" priority="287" stopIfTrue="1">
      <formula>$A6="text"</formula>
    </cfRule>
  </conditionalFormatting>
  <conditionalFormatting sqref="D6">
    <cfRule type="expression" dxfId="1061" priority="283" stopIfTrue="1">
      <formula>$A6="decimal"</formula>
    </cfRule>
    <cfRule type="expression" dxfId="1060" priority="285" stopIfTrue="1">
      <formula>$A6="integer"</formula>
    </cfRule>
  </conditionalFormatting>
  <conditionalFormatting sqref="D6">
    <cfRule type="containsText" dxfId="1059" priority="258" operator="containsText" text="old">
      <formula>NOT(ISERROR(SEARCH("old",D6)))</formula>
    </cfRule>
    <cfRule type="containsText" dxfId="1058" priority="259" operator="containsText" text="integer">
      <formula>NOT(ISERROR(SEARCH("integer",D6)))</formula>
    </cfRule>
  </conditionalFormatting>
  <conditionalFormatting sqref="D6">
    <cfRule type="containsText" dxfId="1057" priority="256" operator="containsText" text="dur">
      <formula>NOT(ISERROR(SEARCH("dur",D6)))</formula>
    </cfRule>
    <cfRule type="containsText" dxfId="1056" priority="257" operator="containsText" text="group">
      <formula>NOT(ISERROR(SEARCH("group",D6)))</formula>
    </cfRule>
  </conditionalFormatting>
  <conditionalFormatting sqref="D5">
    <cfRule type="expression" dxfId="1055" priority="226" stopIfTrue="1">
      <formula>$A5="comments"</formula>
    </cfRule>
  </conditionalFormatting>
  <conditionalFormatting sqref="D5">
    <cfRule type="expression" dxfId="1054" priority="222" stopIfTrue="1">
      <formula>$A5="file"</formula>
    </cfRule>
    <cfRule type="expression" dxfId="1053" priority="228" stopIfTrue="1">
      <formula>OR($A5="audio", $A5="video")</formula>
    </cfRule>
    <cfRule type="expression" dxfId="1052" priority="235" stopIfTrue="1">
      <formula>$A5="note"</formula>
    </cfRule>
    <cfRule type="expression" dxfId="1051" priority="237" stopIfTrue="1">
      <formula>$A5="barcode"</formula>
    </cfRule>
    <cfRule type="expression" dxfId="1050" priority="239" stopIfTrue="1">
      <formula>OR($A5="geopoint", $A5="geoshape", $A5="geotrace")</formula>
    </cfRule>
  </conditionalFormatting>
  <conditionalFormatting sqref="D5">
    <cfRule type="expression" dxfId="1049" priority="225" stopIfTrue="1">
      <formula>OR(AND(LEFT($A5, 14)="sensor_stream ", LEN($A5)&gt;14, NOT(ISNUMBER(SEARCH(" ", $A5, 15)))), AND(LEFT($A5, 17)="sensor_statistic ", LEN($A5)&gt;17, NOT(ISNUMBER(SEARCH(" ", $A5, 18)))))</formula>
    </cfRule>
    <cfRule type="expression" dxfId="1048" priority="240" stopIfTrue="1">
      <formula>OR($A5="audio audit", $A5="text audit", $A5="speed violations count", $A5="speed violations list", $A5="speed violations audit")</formula>
    </cfRule>
  </conditionalFormatting>
  <conditionalFormatting sqref="D5">
    <cfRule type="expression" dxfId="1047" priority="233" stopIfTrue="1">
      <formula>OR($A5="calculate", $A5="calculate_here")</formula>
    </cfRule>
  </conditionalFormatting>
  <conditionalFormatting sqref="D5">
    <cfRule type="expression" dxfId="1046" priority="224" stopIfTrue="1">
      <formula>$A5="enumerator"</formula>
    </cfRule>
    <cfRule type="expression" dxfId="1045" priority="230" stopIfTrue="1">
      <formula>$A5="image"</formula>
    </cfRule>
    <cfRule type="expression" dxfId="1044" priority="232" stopIfTrue="1">
      <formula>OR($A5="date", $A5="datetime", $A5="time")</formula>
    </cfRule>
    <cfRule type="expression" dxfId="1043" priority="243" stopIfTrue="1">
      <formula>OR(AND(LEFT($A5, 16)="select_multiple ", LEN($A5)&gt;16, NOT(ISNUMBER(SEARCH(" ", $A5, 17)))), AND(LEFT($A5, 11)="select_one ", LEN($A5)&gt;11, NOT(ISNUMBER(SEARCH(" ", $A5, 12)))))</formula>
    </cfRule>
    <cfRule type="expression" dxfId="1042" priority="245" stopIfTrue="1">
      <formula>$A5="decimal"</formula>
    </cfRule>
    <cfRule type="expression" dxfId="1041" priority="247" stopIfTrue="1">
      <formula>$A5="integer"</formula>
    </cfRule>
    <cfRule type="expression" dxfId="1040" priority="249" stopIfTrue="1">
      <formula>$A5="text"</formula>
    </cfRule>
    <cfRule type="expression" dxfId="1039" priority="255" stopIfTrue="1">
      <formula>$A5="begin group"</formula>
    </cfRule>
  </conditionalFormatting>
  <conditionalFormatting sqref="D5">
    <cfRule type="expression" dxfId="1038" priority="241" stopIfTrue="1">
      <formula>OR($A5="username", $A5="phonenumber", $A5="start", $A5="end", $A5="deviceid", $A5="subscriberid", $A5="simserial", $A5="caseid")</formula>
    </cfRule>
    <cfRule type="expression" dxfId="1037" priority="250" stopIfTrue="1">
      <formula>$A5="end repeat"</formula>
    </cfRule>
    <cfRule type="expression" dxfId="1036" priority="252" stopIfTrue="1">
      <formula>$A5="begin repeat"</formula>
    </cfRule>
    <cfRule type="expression" dxfId="1035" priority="253" stopIfTrue="1">
      <formula>$A5="end group"</formula>
    </cfRule>
  </conditionalFormatting>
  <conditionalFormatting sqref="D5">
    <cfRule type="expression" dxfId="1034" priority="254" stopIfTrue="1">
      <formula>$A5="begin group"</formula>
    </cfRule>
  </conditionalFormatting>
  <conditionalFormatting sqref="D5">
    <cfRule type="expression" dxfId="1033" priority="229" stopIfTrue="1">
      <formula>$A5="image"</formula>
    </cfRule>
    <cfRule type="expression" dxfId="1032" priority="231" stopIfTrue="1">
      <formula>OR($A5="date", $A5="datetime", $A5="time")</formula>
    </cfRule>
    <cfRule type="expression" dxfId="1031" priority="242" stopIfTrue="1">
      <formula>OR(AND(LEFT($A5, 16)="select_multiple ", LEN($A5)&gt;16, NOT(ISNUMBER(SEARCH(" ", $A5, 17)))), AND(LEFT($A5, 11)="select_one ", LEN($A5)&gt;11, NOT(ISNUMBER(SEARCH(" ", $A5, 12)))))</formula>
    </cfRule>
  </conditionalFormatting>
  <conditionalFormatting sqref="D5">
    <cfRule type="expression" dxfId="1030" priority="251" stopIfTrue="1">
      <formula>$A5="begin repeat"</formula>
    </cfRule>
  </conditionalFormatting>
  <conditionalFormatting sqref="D5">
    <cfRule type="expression" dxfId="1029" priority="221" stopIfTrue="1">
      <formula>$A5="file"</formula>
    </cfRule>
    <cfRule type="expression" dxfId="1028" priority="227" stopIfTrue="1">
      <formula>OR($A5="audio", $A5="video")</formula>
    </cfRule>
    <cfRule type="expression" dxfId="1027" priority="234" stopIfTrue="1">
      <formula>$A5="note"</formula>
    </cfRule>
    <cfRule type="expression" dxfId="1026" priority="236" stopIfTrue="1">
      <formula>$A5="barcode"</formula>
    </cfRule>
    <cfRule type="expression" dxfId="1025" priority="238" stopIfTrue="1">
      <formula>OR($A5="geopoint", $A5="geoshape", $A5="geotrace")</formula>
    </cfRule>
  </conditionalFormatting>
  <conditionalFormatting sqref="D5">
    <cfRule type="expression" dxfId="1024" priority="223" stopIfTrue="1">
      <formula>$A5="enumerator"</formula>
    </cfRule>
    <cfRule type="expression" dxfId="1023" priority="248" stopIfTrue="1">
      <formula>$A5="text"</formula>
    </cfRule>
  </conditionalFormatting>
  <conditionalFormatting sqref="D5">
    <cfRule type="expression" dxfId="1022" priority="244" stopIfTrue="1">
      <formula>$A5="decimal"</formula>
    </cfRule>
    <cfRule type="expression" dxfId="1021" priority="246" stopIfTrue="1">
      <formula>$A5="integer"</formula>
    </cfRule>
  </conditionalFormatting>
  <conditionalFormatting sqref="D5">
    <cfRule type="containsText" dxfId="1020" priority="219" operator="containsText" text="old">
      <formula>NOT(ISERROR(SEARCH("old",D5)))</formula>
    </cfRule>
    <cfRule type="containsText" dxfId="1019" priority="220" operator="containsText" text="integer">
      <formula>NOT(ISERROR(SEARCH("integer",D5)))</formula>
    </cfRule>
  </conditionalFormatting>
  <conditionalFormatting sqref="D5">
    <cfRule type="containsText" dxfId="1018" priority="217" operator="containsText" text="dur">
      <formula>NOT(ISERROR(SEARCH("dur",D5)))</formula>
    </cfRule>
    <cfRule type="containsText" dxfId="1017" priority="218" operator="containsText" text="group">
      <formula>NOT(ISERROR(SEARCH("group",D5)))</formula>
    </cfRule>
  </conditionalFormatting>
  <conditionalFormatting sqref="A17">
    <cfRule type="expression" dxfId="1016" priority="187" stopIfTrue="1">
      <formula>$A17="comments"</formula>
    </cfRule>
  </conditionalFormatting>
  <conditionalFormatting sqref="A17">
    <cfRule type="expression" dxfId="1015" priority="183" stopIfTrue="1">
      <formula>$A17="file"</formula>
    </cfRule>
    <cfRule type="expression" dxfId="1014" priority="189" stopIfTrue="1">
      <formula>OR($A17="audio", $A17="video")</formula>
    </cfRule>
    <cfRule type="expression" dxfId="1013" priority="196" stopIfTrue="1">
      <formula>$A17="note"</formula>
    </cfRule>
    <cfRule type="expression" dxfId="1012" priority="198" stopIfTrue="1">
      <formula>$A17="barcode"</formula>
    </cfRule>
    <cfRule type="expression" dxfId="1011" priority="200" stopIfTrue="1">
      <formula>OR($A17="geopoint", $A17="geoshape", $A17="geotrace")</formula>
    </cfRule>
  </conditionalFormatting>
  <conditionalFormatting sqref="A17">
    <cfRule type="expression" dxfId="1010" priority="186" stopIfTrue="1">
      <formula>OR(AND(LEFT($A17, 14)="sensor_stream ", LEN($A17)&gt;14, NOT(ISNUMBER(SEARCH(" ", $A17, 15)))), AND(LEFT($A17, 17)="sensor_statistic ", LEN($A17)&gt;17, NOT(ISNUMBER(SEARCH(" ", $A17, 18)))))</formula>
    </cfRule>
    <cfRule type="expression" dxfId="1009" priority="201" stopIfTrue="1">
      <formula>OR($A17="audio audit", $A17="text audit", $A17="speed violations count", $A17="speed violations list", $A17="speed violations audit")</formula>
    </cfRule>
  </conditionalFormatting>
  <conditionalFormatting sqref="A17">
    <cfRule type="expression" dxfId="1008" priority="194" stopIfTrue="1">
      <formula>OR($A17="calculate", $A17="calculate_here")</formula>
    </cfRule>
  </conditionalFormatting>
  <conditionalFormatting sqref="A17">
    <cfRule type="expression" dxfId="1007" priority="185" stopIfTrue="1">
      <formula>$A17="enumerator"</formula>
    </cfRule>
    <cfRule type="expression" dxfId="1006" priority="191" stopIfTrue="1">
      <formula>$A17="image"</formula>
    </cfRule>
    <cfRule type="expression" dxfId="1005" priority="193" stopIfTrue="1">
      <formula>OR($A17="date", $A17="datetime", $A17="time")</formula>
    </cfRule>
    <cfRule type="expression" dxfId="1004" priority="204" stopIfTrue="1">
      <formula>OR(AND(LEFT($A17, 16)="select_multiple ", LEN($A17)&gt;16, NOT(ISNUMBER(SEARCH(" ", $A17, 17)))), AND(LEFT($A17, 11)="select_one ", LEN($A17)&gt;11, NOT(ISNUMBER(SEARCH(" ", $A17, 12)))))</formula>
    </cfRule>
    <cfRule type="expression" dxfId="1003" priority="206" stopIfTrue="1">
      <formula>$A17="decimal"</formula>
    </cfRule>
    <cfRule type="expression" dxfId="1002" priority="208" stopIfTrue="1">
      <formula>$A17="integer"</formula>
    </cfRule>
    <cfRule type="expression" dxfId="1001" priority="210" stopIfTrue="1">
      <formula>$A17="text"</formula>
    </cfRule>
    <cfRule type="expression" dxfId="1000" priority="216" stopIfTrue="1">
      <formula>$A17="begin group"</formula>
    </cfRule>
  </conditionalFormatting>
  <conditionalFormatting sqref="A17">
    <cfRule type="expression" dxfId="999" priority="202" stopIfTrue="1">
      <formula>OR($A17="username", $A17="phonenumber", $A17="start", $A17="end", $A17="deviceid", $A17="subscriberid", $A17="simserial", $A17="caseid")</formula>
    </cfRule>
    <cfRule type="expression" dxfId="998" priority="211" stopIfTrue="1">
      <formula>$A17="end repeat"</formula>
    </cfRule>
    <cfRule type="expression" dxfId="997" priority="213" stopIfTrue="1">
      <formula>$A17="begin repeat"</formula>
    </cfRule>
    <cfRule type="expression" dxfId="996" priority="214" stopIfTrue="1">
      <formula>$A17="end group"</formula>
    </cfRule>
  </conditionalFormatting>
  <conditionalFormatting sqref="A17">
    <cfRule type="expression" dxfId="995" priority="215" stopIfTrue="1">
      <formula>$A17="begin group"</formula>
    </cfRule>
  </conditionalFormatting>
  <conditionalFormatting sqref="A17">
    <cfRule type="expression" dxfId="994" priority="190" stopIfTrue="1">
      <formula>$A17="image"</formula>
    </cfRule>
    <cfRule type="expression" dxfId="993" priority="192" stopIfTrue="1">
      <formula>OR($A17="date", $A17="datetime", $A17="time")</formula>
    </cfRule>
    <cfRule type="expression" dxfId="992" priority="203" stopIfTrue="1">
      <formula>OR(AND(LEFT($A17, 16)="select_multiple ", LEN($A17)&gt;16, NOT(ISNUMBER(SEARCH(" ", $A17, 17)))), AND(LEFT($A17, 11)="select_one ", LEN($A17)&gt;11, NOT(ISNUMBER(SEARCH(" ", $A17, 12)))))</formula>
    </cfRule>
  </conditionalFormatting>
  <conditionalFormatting sqref="A17">
    <cfRule type="expression" dxfId="991" priority="212" stopIfTrue="1">
      <formula>$A17="begin repeat"</formula>
    </cfRule>
  </conditionalFormatting>
  <conditionalFormatting sqref="A17">
    <cfRule type="expression" dxfId="990" priority="182" stopIfTrue="1">
      <formula>$A17="file"</formula>
    </cfRule>
    <cfRule type="expression" dxfId="989" priority="188" stopIfTrue="1">
      <formula>OR($A17="audio", $A17="video")</formula>
    </cfRule>
    <cfRule type="expression" dxfId="988" priority="195" stopIfTrue="1">
      <formula>$A17="note"</formula>
    </cfRule>
    <cfRule type="expression" dxfId="987" priority="197" stopIfTrue="1">
      <formula>$A17="barcode"</formula>
    </cfRule>
    <cfRule type="expression" dxfId="986" priority="199" stopIfTrue="1">
      <formula>OR($A17="geopoint", $A17="geoshape", $A17="geotrace")</formula>
    </cfRule>
  </conditionalFormatting>
  <conditionalFormatting sqref="A17">
    <cfRule type="expression" dxfId="985" priority="184" stopIfTrue="1">
      <formula>$A17="enumerator"</formula>
    </cfRule>
    <cfRule type="expression" dxfId="984" priority="209" stopIfTrue="1">
      <formula>$A17="text"</formula>
    </cfRule>
  </conditionalFormatting>
  <conditionalFormatting sqref="A17">
    <cfRule type="expression" dxfId="983" priority="205" stopIfTrue="1">
      <formula>$A17="decimal"</formula>
    </cfRule>
    <cfRule type="expression" dxfId="982" priority="207" stopIfTrue="1">
      <formula>$A17="integer"</formula>
    </cfRule>
  </conditionalFormatting>
  <conditionalFormatting sqref="B17">
    <cfRule type="expression" dxfId="981" priority="161" stopIfTrue="1">
      <formula>$A17="comments"</formula>
    </cfRule>
  </conditionalFormatting>
  <conditionalFormatting sqref="B17">
    <cfRule type="expression" dxfId="980" priority="157" stopIfTrue="1">
      <formula>$A17="file"</formula>
    </cfRule>
    <cfRule type="expression" dxfId="979" priority="162" stopIfTrue="1">
      <formula>OR($A17="audio", $A17="video")</formula>
    </cfRule>
    <cfRule type="expression" dxfId="978" priority="166" stopIfTrue="1">
      <formula>$A17="note"</formula>
    </cfRule>
    <cfRule type="expression" dxfId="977" priority="167" stopIfTrue="1">
      <formula>$A17="barcode"</formula>
    </cfRule>
    <cfRule type="expression" dxfId="976" priority="168" stopIfTrue="1">
      <formula>OR($A17="geopoint", $A17="geoshape", $A17="geotrace")</formula>
    </cfRule>
  </conditionalFormatting>
  <conditionalFormatting sqref="B17">
    <cfRule type="expression" dxfId="975" priority="160" stopIfTrue="1">
      <formula>OR(AND(LEFT($A17, 14)="sensor_stream ", LEN($A17)&gt;14, NOT(ISNUMBER(SEARCH(" ", $A17, 15)))), AND(LEFT($A17, 17)="sensor_statistic ", LEN($A17)&gt;17, NOT(ISNUMBER(SEARCH(" ", $A17, 18)))))</formula>
    </cfRule>
    <cfRule type="expression" dxfId="974" priority="169" stopIfTrue="1">
      <formula>OR($A17="audio audit", $A17="text audit", $A17="speed violations count", $A17="speed violations list", $A17="speed violations audit")</formula>
    </cfRule>
  </conditionalFormatting>
  <conditionalFormatting sqref="B17">
    <cfRule type="expression" dxfId="973" priority="165" stopIfTrue="1">
      <formula>OR($A17="calculate", $A17="calculate_here")</formula>
    </cfRule>
  </conditionalFormatting>
  <conditionalFormatting sqref="B17">
    <cfRule type="expression" dxfId="972" priority="159" stopIfTrue="1">
      <formula>$A17="enumerator"</formula>
    </cfRule>
    <cfRule type="expression" dxfId="971" priority="163" stopIfTrue="1">
      <formula>$A17="image"</formula>
    </cfRule>
    <cfRule type="expression" dxfId="970" priority="164" stopIfTrue="1">
      <formula>OR($A17="date", $A17="datetime", $A17="time")</formula>
    </cfRule>
    <cfRule type="expression" dxfId="969" priority="171" stopIfTrue="1">
      <formula>OR(AND(LEFT($A17, 16)="select_multiple ", LEN($A17)&gt;16, NOT(ISNUMBER(SEARCH(" ", $A17, 17)))), AND(LEFT($A17, 11)="select_one ", LEN($A17)&gt;11, NOT(ISNUMBER(SEARCH(" ", $A17, 12)))))</formula>
    </cfRule>
    <cfRule type="expression" dxfId="968" priority="173" stopIfTrue="1">
      <formula>$A17="decimal"</formula>
    </cfRule>
    <cfRule type="expression" dxfId="967" priority="175" stopIfTrue="1">
      <formula>$A17="integer"</formula>
    </cfRule>
    <cfRule type="expression" dxfId="966" priority="177" stopIfTrue="1">
      <formula>$A17="text"</formula>
    </cfRule>
    <cfRule type="expression" dxfId="965" priority="181" stopIfTrue="1">
      <formula>$A17="begin group"</formula>
    </cfRule>
  </conditionalFormatting>
  <conditionalFormatting sqref="B17">
    <cfRule type="expression" dxfId="964" priority="170" stopIfTrue="1">
      <formula>OR($A17="username", $A17="phonenumber", $A17="start", $A17="end", $A17="deviceid", $A17="subscriberid", $A17="simserial", $A17="caseid")</formula>
    </cfRule>
    <cfRule type="expression" dxfId="963" priority="178" stopIfTrue="1">
      <formula>$A17="end repeat"</formula>
    </cfRule>
    <cfRule type="expression" dxfId="962" priority="179" stopIfTrue="1">
      <formula>$A17="begin repeat"</formula>
    </cfRule>
    <cfRule type="expression" dxfId="961" priority="180" stopIfTrue="1">
      <formula>$A17="end group"</formula>
    </cfRule>
  </conditionalFormatting>
  <conditionalFormatting sqref="B17">
    <cfRule type="expression" dxfId="960" priority="158" stopIfTrue="1">
      <formula>$A17="enumerator"</formula>
    </cfRule>
    <cfRule type="expression" dxfId="959" priority="176" stopIfTrue="1">
      <formula>$A17="text"</formula>
    </cfRule>
  </conditionalFormatting>
  <conditionalFormatting sqref="B17">
    <cfRule type="expression" dxfId="958" priority="172" stopIfTrue="1">
      <formula>$A17="decimal"</formula>
    </cfRule>
    <cfRule type="expression" dxfId="957" priority="174" stopIfTrue="1">
      <formula>$A17="integer"</formula>
    </cfRule>
  </conditionalFormatting>
  <conditionalFormatting sqref="E18">
    <cfRule type="expression" dxfId="956" priority="2449">
      <formula>#REF!&lt;&gt;""</formula>
    </cfRule>
  </conditionalFormatting>
  <conditionalFormatting sqref="B18 D18">
    <cfRule type="expression" dxfId="955" priority="2450" stopIfTrue="1">
      <formula>#REF!="comments"</formula>
    </cfRule>
  </conditionalFormatting>
  <conditionalFormatting sqref="B18 D18">
    <cfRule type="expression" dxfId="954" priority="2451" stopIfTrue="1">
      <formula>#REF!="file"</formula>
    </cfRule>
    <cfRule type="expression" dxfId="953" priority="2452" stopIfTrue="1">
      <formula>OR(#REF!="audio", #REF!="video")</formula>
    </cfRule>
    <cfRule type="expression" dxfId="952" priority="2453" stopIfTrue="1">
      <formula>#REF!="note"</formula>
    </cfRule>
    <cfRule type="expression" dxfId="951" priority="2454" stopIfTrue="1">
      <formula>#REF!="barcode"</formula>
    </cfRule>
    <cfRule type="expression" dxfId="950" priority="2455" stopIfTrue="1">
      <formula>OR(#REF!="geopoint", #REF!="geoshape", #REF!="geotrace")</formula>
    </cfRule>
  </conditionalFormatting>
  <conditionalFormatting sqref="B18 D18">
    <cfRule type="expression" dxfId="949" priority="2456" stopIfTrue="1">
      <formula>OR(AND(LEFT(#REF!, 14)="sensor_stream ", LEN(#REF!)&gt;14, NOT(ISNUMBER(SEARCH(" ", #REF!, 15)))), AND(LEFT(#REF!, 17)="sensor_statistic ", LEN(#REF!)&gt;17, NOT(ISNUMBER(SEARCH(" ", #REF!, 18)))))</formula>
    </cfRule>
    <cfRule type="expression" dxfId="948" priority="2457" stopIfTrue="1">
      <formula>OR(#REF!="audio audit", #REF!="text audit", #REF!="speed violations count", #REF!="speed violations list", #REF!="speed violations audit")</formula>
    </cfRule>
  </conditionalFormatting>
  <conditionalFormatting sqref="B18 D18">
    <cfRule type="expression" dxfId="947" priority="2458" stopIfTrue="1">
      <formula>OR(#REF!="calculate", #REF!="calculate_here")</formula>
    </cfRule>
  </conditionalFormatting>
  <conditionalFormatting sqref="B18 D18">
    <cfRule type="expression" dxfId="946" priority="2459" stopIfTrue="1">
      <formula>#REF!="enumerator"</formula>
    </cfRule>
    <cfRule type="expression" dxfId="945" priority="2460" stopIfTrue="1">
      <formula>#REF!="image"</formula>
    </cfRule>
    <cfRule type="expression" dxfId="944" priority="2461" stopIfTrue="1">
      <formula>OR(#REF!="date", #REF!="datetime", #REF!="time")</formula>
    </cfRule>
    <cfRule type="expression" dxfId="943" priority="2462" stopIfTrue="1">
      <formula>OR(AND(LEFT(#REF!, 16)="select_multiple ", LEN(#REF!)&gt;16, NOT(ISNUMBER(SEARCH(" ", #REF!, 17)))), AND(LEFT(#REF!, 11)="select_one ", LEN(#REF!)&gt;11, NOT(ISNUMBER(SEARCH(" ", #REF!, 12)))))</formula>
    </cfRule>
    <cfRule type="expression" dxfId="942" priority="2463" stopIfTrue="1">
      <formula>#REF!="decimal"</formula>
    </cfRule>
    <cfRule type="expression" dxfId="941" priority="2464" stopIfTrue="1">
      <formula>#REF!="integer"</formula>
    </cfRule>
    <cfRule type="expression" dxfId="940" priority="2465" stopIfTrue="1">
      <formula>#REF!="text"</formula>
    </cfRule>
    <cfRule type="expression" dxfId="939" priority="2466" stopIfTrue="1">
      <formula>#REF!="begin group"</formula>
    </cfRule>
  </conditionalFormatting>
  <conditionalFormatting sqref="B18 D18">
    <cfRule type="expression" dxfId="938" priority="2467" stopIfTrue="1">
      <formula>OR(#REF!="username", #REF!="phonenumber", #REF!="start", #REF!="end", #REF!="deviceid", #REF!="subscriberid", #REF!="simserial", #REF!="caseid")</formula>
    </cfRule>
    <cfRule type="expression" dxfId="937" priority="2468" stopIfTrue="1">
      <formula>#REF!="end repeat"</formula>
    </cfRule>
    <cfRule type="expression" dxfId="936" priority="2469" stopIfTrue="1">
      <formula>#REF!="begin repeat"</formula>
    </cfRule>
    <cfRule type="expression" dxfId="935" priority="2470" stopIfTrue="1">
      <formula>#REF!="end group"</formula>
    </cfRule>
  </conditionalFormatting>
  <conditionalFormatting sqref="B18 D18">
    <cfRule type="expression" dxfId="934" priority="2471" stopIfTrue="1">
      <formula>#REF!="enumerator"</formula>
    </cfRule>
    <cfRule type="expression" dxfId="933" priority="2472" stopIfTrue="1">
      <formula>#REF!="text"</formula>
    </cfRule>
  </conditionalFormatting>
  <conditionalFormatting sqref="B18 D18">
    <cfRule type="expression" dxfId="932" priority="2473" stopIfTrue="1">
      <formula>#REF!="decimal"</formula>
    </cfRule>
    <cfRule type="expression" dxfId="931" priority="2474" stopIfTrue="1">
      <formula>#REF!="integer"</formula>
    </cfRule>
  </conditionalFormatting>
  <conditionalFormatting sqref="D18">
    <cfRule type="expression" dxfId="930" priority="2496" stopIfTrue="1">
      <formula>#REF!="begin group"</formula>
    </cfRule>
  </conditionalFormatting>
  <conditionalFormatting sqref="D18">
    <cfRule type="expression" dxfId="929" priority="2497" stopIfTrue="1">
      <formula>#REF!="image"</formula>
    </cfRule>
    <cfRule type="expression" dxfId="928" priority="2498" stopIfTrue="1">
      <formula>OR(#REF!="date", #REF!="datetime", #REF!="time")</formula>
    </cfRule>
    <cfRule type="expression" dxfId="927" priority="2499" stopIfTrue="1">
      <formula>OR(AND(LEFT(#REF!, 16)="select_multiple ", LEN(#REF!)&gt;16, NOT(ISNUMBER(SEARCH(" ", #REF!, 17)))), AND(LEFT(#REF!, 11)="select_one ", LEN(#REF!)&gt;11, NOT(ISNUMBER(SEARCH(" ", #REF!, 12)))))</formula>
    </cfRule>
  </conditionalFormatting>
  <conditionalFormatting sqref="D18">
    <cfRule type="expression" dxfId="926" priority="2500" stopIfTrue="1">
      <formula>#REF!="begin repeat"</formula>
    </cfRule>
  </conditionalFormatting>
  <conditionalFormatting sqref="D18">
    <cfRule type="expression" dxfId="925" priority="2501" stopIfTrue="1">
      <formula>#REF!="file"</formula>
    </cfRule>
    <cfRule type="expression" dxfId="924" priority="2502" stopIfTrue="1">
      <formula>OR(#REF!="audio", #REF!="video")</formula>
    </cfRule>
    <cfRule type="expression" dxfId="923" priority="2503" stopIfTrue="1">
      <formula>#REF!="note"</formula>
    </cfRule>
    <cfRule type="expression" dxfId="922" priority="2504" stopIfTrue="1">
      <formula>#REF!="barcode"</formula>
    </cfRule>
    <cfRule type="expression" dxfId="921" priority="2505" stopIfTrue="1">
      <formula>OR(#REF!="geopoint", #REF!="geoshape", #REF!="geotrace")</formula>
    </cfRule>
  </conditionalFormatting>
  <conditionalFormatting sqref="C18">
    <cfRule type="expression" dxfId="920" priority="26">
      <formula>$A18&lt;&gt;""</formula>
    </cfRule>
  </conditionalFormatting>
  <conditionalFormatting sqref="B19:B20">
    <cfRule type="expression" dxfId="919" priority="5" stopIfTrue="1">
      <formula>$A19="comments"</formula>
    </cfRule>
  </conditionalFormatting>
  <conditionalFormatting sqref="B19:B20">
    <cfRule type="expression" dxfId="918" priority="1" stopIfTrue="1">
      <formula>$A19="file"</formula>
    </cfRule>
    <cfRule type="expression" dxfId="917" priority="6" stopIfTrue="1">
      <formula>OR($A19="audio", $A19="video")</formula>
    </cfRule>
    <cfRule type="expression" dxfId="916" priority="10" stopIfTrue="1">
      <formula>$A19="note"</formula>
    </cfRule>
    <cfRule type="expression" dxfId="915" priority="11" stopIfTrue="1">
      <formula>$A19="barcode"</formula>
    </cfRule>
    <cfRule type="expression" dxfId="914" priority="12" stopIfTrue="1">
      <formula>OR($A19="geopoint", $A19="geoshape", $A19="geotrace")</formula>
    </cfRule>
  </conditionalFormatting>
  <conditionalFormatting sqref="B19:B20">
    <cfRule type="expression" dxfId="913" priority="4" stopIfTrue="1">
      <formula>OR(AND(LEFT($A19, 14)="sensor_stream ", LEN($A19)&gt;14, NOT(ISNUMBER(SEARCH(" ", $A19, 15)))), AND(LEFT($A19, 17)="sensor_statistic ", LEN($A19)&gt;17, NOT(ISNUMBER(SEARCH(" ", $A19, 18)))))</formula>
    </cfRule>
    <cfRule type="expression" dxfId="912" priority="13" stopIfTrue="1">
      <formula>OR($A19="audio audit", $A19="text audit", $A19="speed violations count", $A19="speed violations list", $A19="speed violations audit")</formula>
    </cfRule>
  </conditionalFormatting>
  <conditionalFormatting sqref="B19:B20">
    <cfRule type="expression" dxfId="911" priority="9" stopIfTrue="1">
      <formula>OR($A19="calculate", $A19="calculate_here")</formula>
    </cfRule>
  </conditionalFormatting>
  <conditionalFormatting sqref="B19:B20">
    <cfRule type="expression" dxfId="910" priority="3" stopIfTrue="1">
      <formula>$A19="enumerator"</formula>
    </cfRule>
    <cfRule type="expression" dxfId="909" priority="7" stopIfTrue="1">
      <formula>$A19="image"</formula>
    </cfRule>
    <cfRule type="expression" dxfId="908" priority="8" stopIfTrue="1">
      <formula>OR($A19="date", $A19="datetime", $A19="time")</formula>
    </cfRule>
    <cfRule type="expression" dxfId="907" priority="15" stopIfTrue="1">
      <formula>OR(AND(LEFT($A19, 16)="select_multiple ", LEN($A19)&gt;16, NOT(ISNUMBER(SEARCH(" ", $A19, 17)))), AND(LEFT($A19, 11)="select_one ", LEN($A19)&gt;11, NOT(ISNUMBER(SEARCH(" ", $A19, 12)))))</formula>
    </cfRule>
    <cfRule type="expression" dxfId="906" priority="17" stopIfTrue="1">
      <formula>$A19="decimal"</formula>
    </cfRule>
    <cfRule type="expression" dxfId="905" priority="19" stopIfTrue="1">
      <formula>$A19="integer"</formula>
    </cfRule>
    <cfRule type="expression" dxfId="904" priority="21" stopIfTrue="1">
      <formula>$A19="text"</formula>
    </cfRule>
    <cfRule type="expression" dxfId="903" priority="25" stopIfTrue="1">
      <formula>$A19="begin group"</formula>
    </cfRule>
  </conditionalFormatting>
  <conditionalFormatting sqref="B19:B20">
    <cfRule type="expression" dxfId="902" priority="14" stopIfTrue="1">
      <formula>OR($A19="username", $A19="phonenumber", $A19="start", $A19="end", $A19="deviceid", $A19="subscriberid", $A19="simserial", $A19="caseid")</formula>
    </cfRule>
    <cfRule type="expression" dxfId="901" priority="22" stopIfTrue="1">
      <formula>$A19="end repeat"</formula>
    </cfRule>
    <cfRule type="expression" dxfId="900" priority="23" stopIfTrue="1">
      <formula>$A19="begin repeat"</formula>
    </cfRule>
    <cfRule type="expression" dxfId="899" priority="24" stopIfTrue="1">
      <formula>$A19="end group"</formula>
    </cfRule>
  </conditionalFormatting>
  <conditionalFormatting sqref="B19:B20">
    <cfRule type="expression" dxfId="898" priority="2" stopIfTrue="1">
      <formula>$A19="enumerator"</formula>
    </cfRule>
    <cfRule type="expression" dxfId="897" priority="20" stopIfTrue="1">
      <formula>$A19="text"</formula>
    </cfRule>
  </conditionalFormatting>
  <conditionalFormatting sqref="B19:B20">
    <cfRule type="expression" dxfId="896" priority="16" stopIfTrue="1">
      <formula>$A19="decimal"</formula>
    </cfRule>
    <cfRule type="expression" dxfId="895" priority="18" stopIfTrue="1">
      <formula>$A19="integer"</formula>
    </cfRule>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G32"/>
  <sheetViews>
    <sheetView showGridLines="0" zoomScale="65" workbookViewId="0">
      <selection activeCell="E32" sqref="E32"/>
    </sheetView>
  </sheetViews>
  <sheetFormatPr baseColWidth="10" defaultColWidth="20.6640625" defaultRowHeight="19" x14ac:dyDescent="0.2"/>
  <cols>
    <col min="1" max="1" width="20.6640625" style="28" customWidth="1"/>
    <col min="2" max="2" width="72.6640625" style="28" bestFit="1" customWidth="1"/>
    <col min="3" max="3" width="28.33203125" style="28" bestFit="1" customWidth="1"/>
    <col min="4" max="4" width="58" style="28" bestFit="1" customWidth="1"/>
    <col min="5" max="5" width="18.83203125" style="28" customWidth="1"/>
    <col min="6" max="6" width="2.1640625" style="28" customWidth="1"/>
    <col min="7" max="7" width="28.1640625" style="28" bestFit="1" customWidth="1"/>
    <col min="8" max="16384" width="20.6640625" style="28"/>
  </cols>
  <sheetData>
    <row r="1" spans="1:7" ht="20" x14ac:dyDescent="0.2">
      <c r="A1" s="25" t="s">
        <v>2</v>
      </c>
      <c r="B1" s="25" t="s">
        <v>17</v>
      </c>
      <c r="C1" s="25" t="s">
        <v>1</v>
      </c>
      <c r="D1" s="25" t="s">
        <v>18</v>
      </c>
      <c r="E1" s="25" t="s">
        <v>0</v>
      </c>
      <c r="F1" s="26"/>
      <c r="G1" s="27" t="s">
        <v>11</v>
      </c>
    </row>
    <row r="2" spans="1:7" x14ac:dyDescent="0.2">
      <c r="A2" s="35" t="s">
        <v>96</v>
      </c>
      <c r="B2" s="35" t="s">
        <v>109</v>
      </c>
      <c r="C2" s="45" t="s">
        <v>122</v>
      </c>
      <c r="D2" s="35" t="s">
        <v>135</v>
      </c>
      <c r="E2" s="29"/>
      <c r="F2" s="29"/>
      <c r="G2" s="35"/>
    </row>
    <row r="3" spans="1:7" ht="36" x14ac:dyDescent="0.2">
      <c r="A3" s="35" t="s">
        <v>147</v>
      </c>
      <c r="B3" s="35" t="s">
        <v>149</v>
      </c>
      <c r="C3" s="45" t="s">
        <v>148</v>
      </c>
      <c r="D3" s="35" t="s">
        <v>150</v>
      </c>
      <c r="E3" s="29"/>
      <c r="F3" s="29"/>
      <c r="G3" s="29"/>
    </row>
    <row r="4" spans="1:7" ht="36" x14ac:dyDescent="0.2">
      <c r="A4" s="35" t="s">
        <v>151</v>
      </c>
      <c r="B4" s="35" t="s">
        <v>154</v>
      </c>
      <c r="C4" s="45" t="s">
        <v>152</v>
      </c>
      <c r="D4" s="35" t="s">
        <v>153</v>
      </c>
      <c r="E4" s="29"/>
      <c r="F4" s="29"/>
      <c r="G4" s="29"/>
    </row>
    <row r="5" spans="1:7" x14ac:dyDescent="0.2">
      <c r="A5" s="35" t="s">
        <v>97</v>
      </c>
      <c r="B5" s="35" t="s">
        <v>110</v>
      </c>
      <c r="C5" s="45" t="s">
        <v>123</v>
      </c>
      <c r="D5" s="35" t="s">
        <v>136</v>
      </c>
      <c r="E5" s="29"/>
      <c r="F5" s="29"/>
      <c r="G5" s="29"/>
    </row>
    <row r="6" spans="1:7" x14ac:dyDescent="0.2">
      <c r="A6" s="35" t="s">
        <v>155</v>
      </c>
      <c r="B6" s="35" t="s">
        <v>158</v>
      </c>
      <c r="C6" s="45" t="s">
        <v>157</v>
      </c>
      <c r="D6" s="35" t="s">
        <v>156</v>
      </c>
      <c r="E6" s="29"/>
      <c r="F6" s="29"/>
      <c r="G6" s="29"/>
    </row>
    <row r="7" spans="1:7" x14ac:dyDescent="0.2">
      <c r="A7" s="35" t="s">
        <v>159</v>
      </c>
      <c r="B7" s="35" t="s">
        <v>160</v>
      </c>
      <c r="C7" s="45" t="s">
        <v>161</v>
      </c>
      <c r="D7" s="35" t="s">
        <v>162</v>
      </c>
      <c r="E7" s="29"/>
      <c r="F7" s="29"/>
      <c r="G7" s="29"/>
    </row>
    <row r="8" spans="1:7" ht="36" x14ac:dyDescent="0.2">
      <c r="A8" s="35" t="s">
        <v>163</v>
      </c>
      <c r="B8" s="35" t="s">
        <v>164</v>
      </c>
      <c r="C8" s="45" t="s">
        <v>165</v>
      </c>
      <c r="D8" s="35" t="s">
        <v>168</v>
      </c>
      <c r="E8" s="29"/>
      <c r="F8" s="29"/>
      <c r="G8" s="29"/>
    </row>
    <row r="9" spans="1:7" x14ac:dyDescent="0.2">
      <c r="A9" s="35" t="s">
        <v>166</v>
      </c>
      <c r="B9" s="35" t="s">
        <v>154</v>
      </c>
      <c r="C9" s="45" t="s">
        <v>167</v>
      </c>
      <c r="D9" s="35" t="s">
        <v>169</v>
      </c>
      <c r="E9" s="29"/>
      <c r="F9" s="29"/>
      <c r="G9" s="29"/>
    </row>
    <row r="10" spans="1:7" x14ac:dyDescent="0.2">
      <c r="A10" s="35" t="s">
        <v>170</v>
      </c>
      <c r="B10" s="35" t="s">
        <v>173</v>
      </c>
      <c r="C10" s="45" t="s">
        <v>171</v>
      </c>
      <c r="D10" s="35" t="s">
        <v>172</v>
      </c>
      <c r="E10" s="29"/>
      <c r="F10" s="29"/>
      <c r="G10" s="29"/>
    </row>
    <row r="11" spans="1:7" ht="54" x14ac:dyDescent="0.2">
      <c r="A11" s="35" t="s">
        <v>174</v>
      </c>
      <c r="B11" s="35" t="s">
        <v>177</v>
      </c>
      <c r="C11" s="45" t="s">
        <v>175</v>
      </c>
      <c r="D11" s="35" t="s">
        <v>176</v>
      </c>
      <c r="E11" s="29"/>
      <c r="F11" s="29"/>
      <c r="G11" s="29"/>
    </row>
    <row r="12" spans="1:7" ht="36" x14ac:dyDescent="0.2">
      <c r="A12" s="35" t="s">
        <v>178</v>
      </c>
      <c r="B12" s="35" t="s">
        <v>179</v>
      </c>
      <c r="C12" s="45" t="s">
        <v>180</v>
      </c>
      <c r="D12" s="35" t="s">
        <v>181</v>
      </c>
      <c r="E12" s="29"/>
      <c r="F12" s="29"/>
      <c r="G12" s="29"/>
    </row>
    <row r="13" spans="1:7" ht="54" x14ac:dyDescent="0.2">
      <c r="A13" s="35" t="s">
        <v>182</v>
      </c>
      <c r="B13" s="35" t="s">
        <v>183</v>
      </c>
      <c r="C13" s="45" t="s">
        <v>184</v>
      </c>
      <c r="D13" s="35" t="s">
        <v>181</v>
      </c>
      <c r="E13" s="29"/>
      <c r="F13" s="29"/>
      <c r="G13" s="29"/>
    </row>
    <row r="14" spans="1:7" customFormat="1" ht="18" x14ac:dyDescent="0.2">
      <c r="A14" s="35" t="s">
        <v>189</v>
      </c>
      <c r="B14" s="35" t="s">
        <v>193</v>
      </c>
      <c r="C14" s="45" t="s">
        <v>191</v>
      </c>
      <c r="D14" s="35" t="s">
        <v>137</v>
      </c>
      <c r="E14" s="29"/>
      <c r="F14" s="29"/>
      <c r="G14" s="29"/>
    </row>
    <row r="15" spans="1:7" x14ac:dyDescent="0.2">
      <c r="A15" s="35" t="s">
        <v>190</v>
      </c>
      <c r="B15" s="35" t="s">
        <v>172</v>
      </c>
      <c r="C15" s="45" t="s">
        <v>192</v>
      </c>
      <c r="D15" s="35" t="s">
        <v>172</v>
      </c>
      <c r="E15" s="29"/>
      <c r="F15" s="29"/>
      <c r="G15" s="29"/>
    </row>
    <row r="16" spans="1:7" ht="67" customHeight="1" x14ac:dyDescent="0.2">
      <c r="A16" s="35" t="s">
        <v>98</v>
      </c>
      <c r="B16" s="35" t="s">
        <v>111</v>
      </c>
      <c r="C16" s="45" t="s">
        <v>124</v>
      </c>
      <c r="D16" s="35" t="s">
        <v>137</v>
      </c>
      <c r="E16" s="29"/>
      <c r="F16" s="29"/>
      <c r="G16" s="29"/>
    </row>
    <row r="17" spans="1:7" ht="67" customHeight="1" x14ac:dyDescent="0.2">
      <c r="A17" s="35" t="s">
        <v>185</v>
      </c>
      <c r="B17" s="35" t="s">
        <v>186</v>
      </c>
      <c r="C17" s="45" t="s">
        <v>187</v>
      </c>
      <c r="D17" s="35" t="s">
        <v>188</v>
      </c>
      <c r="E17" s="29"/>
      <c r="F17" s="29"/>
      <c r="G17" s="29"/>
    </row>
    <row r="18" spans="1:7" x14ac:dyDescent="0.2">
      <c r="A18" s="35" t="s">
        <v>99</v>
      </c>
      <c r="B18" s="35" t="s">
        <v>112</v>
      </c>
      <c r="C18" s="45" t="s">
        <v>125</v>
      </c>
      <c r="D18" s="35" t="s">
        <v>138</v>
      </c>
      <c r="E18" s="29"/>
      <c r="F18" s="29"/>
      <c r="G18" s="29"/>
    </row>
    <row r="19" spans="1:7" x14ac:dyDescent="0.2">
      <c r="A19" s="35" t="s">
        <v>100</v>
      </c>
      <c r="B19" s="35" t="s">
        <v>113</v>
      </c>
      <c r="C19" s="45" t="s">
        <v>126</v>
      </c>
      <c r="D19" s="35" t="s">
        <v>139</v>
      </c>
      <c r="E19" s="29"/>
      <c r="F19" s="29"/>
      <c r="G19" s="29"/>
    </row>
    <row r="20" spans="1:7" ht="36" x14ac:dyDescent="0.2">
      <c r="A20" s="35" t="s">
        <v>101</v>
      </c>
      <c r="B20" s="35" t="s">
        <v>114</v>
      </c>
      <c r="C20" s="45" t="s">
        <v>127</v>
      </c>
      <c r="D20" s="35" t="s">
        <v>140</v>
      </c>
      <c r="E20" s="29"/>
      <c r="F20" s="29"/>
      <c r="G20" s="29"/>
    </row>
    <row r="21" spans="1:7" ht="54" x14ac:dyDescent="0.2">
      <c r="A21" s="35" t="s">
        <v>102</v>
      </c>
      <c r="B21" s="35" t="s">
        <v>115</v>
      </c>
      <c r="C21" s="45" t="s">
        <v>128</v>
      </c>
      <c r="D21" s="35" t="s">
        <v>141</v>
      </c>
      <c r="E21" s="29"/>
      <c r="F21" s="29"/>
      <c r="G21" s="29"/>
    </row>
    <row r="22" spans="1:7" ht="54" x14ac:dyDescent="0.2">
      <c r="A22" s="35" t="s">
        <v>103</v>
      </c>
      <c r="B22" s="35" t="s">
        <v>116</v>
      </c>
      <c r="C22" s="45" t="s">
        <v>129</v>
      </c>
      <c r="D22" s="35" t="s">
        <v>141</v>
      </c>
      <c r="E22" s="29"/>
      <c r="F22" s="29"/>
      <c r="G22" s="29"/>
    </row>
    <row r="23" spans="1:7" x14ac:dyDescent="0.2">
      <c r="A23" s="35" t="s">
        <v>104</v>
      </c>
      <c r="B23" s="35" t="s">
        <v>117</v>
      </c>
      <c r="C23" s="45" t="s">
        <v>130</v>
      </c>
      <c r="D23" s="35" t="s">
        <v>142</v>
      </c>
      <c r="E23" s="29"/>
      <c r="F23" s="29"/>
      <c r="G23" s="29"/>
    </row>
    <row r="24" spans="1:7" ht="36" x14ac:dyDescent="0.2">
      <c r="A24" s="35" t="s">
        <v>105</v>
      </c>
      <c r="B24" s="35" t="s">
        <v>118</v>
      </c>
      <c r="C24" s="45" t="s">
        <v>131</v>
      </c>
      <c r="D24" s="35" t="s">
        <v>143</v>
      </c>
      <c r="E24" s="29"/>
      <c r="F24" s="29"/>
      <c r="G24" s="29"/>
    </row>
    <row r="25" spans="1:7" x14ac:dyDescent="0.2">
      <c r="A25" s="35" t="s">
        <v>194</v>
      </c>
      <c r="B25" s="35" t="s">
        <v>197</v>
      </c>
      <c r="C25" s="45" t="s">
        <v>196</v>
      </c>
      <c r="D25" s="35" t="s">
        <v>195</v>
      </c>
      <c r="E25" s="29"/>
      <c r="F25" s="29"/>
      <c r="G25" s="29"/>
    </row>
    <row r="26" spans="1:7" ht="36" x14ac:dyDescent="0.2">
      <c r="A26" s="35" t="s">
        <v>106</v>
      </c>
      <c r="B26" s="35" t="s">
        <v>119</v>
      </c>
      <c r="C26" s="45" t="s">
        <v>132</v>
      </c>
      <c r="D26" s="35" t="s">
        <v>144</v>
      </c>
      <c r="E26" s="29"/>
      <c r="F26" s="29"/>
      <c r="G26" s="29"/>
    </row>
    <row r="27" spans="1:7" ht="54" x14ac:dyDescent="0.2">
      <c r="A27" s="35" t="s">
        <v>107</v>
      </c>
      <c r="B27" s="35" t="s">
        <v>120</v>
      </c>
      <c r="C27" s="45" t="s">
        <v>133</v>
      </c>
      <c r="D27" s="35" t="s">
        <v>145</v>
      </c>
      <c r="E27" s="29"/>
      <c r="F27" s="29"/>
      <c r="G27" s="29"/>
    </row>
    <row r="28" spans="1:7" ht="72" x14ac:dyDescent="0.2">
      <c r="A28" s="35" t="s">
        <v>199</v>
      </c>
      <c r="B28" s="35" t="s">
        <v>201</v>
      </c>
      <c r="C28" s="45" t="s">
        <v>198</v>
      </c>
      <c r="D28" s="35" t="s">
        <v>200</v>
      </c>
      <c r="E28" s="29"/>
      <c r="F28" s="29"/>
      <c r="G28" s="29"/>
    </row>
    <row r="29" spans="1:7" x14ac:dyDescent="0.2">
      <c r="A29" s="35" t="s">
        <v>108</v>
      </c>
      <c r="B29" s="35" t="s">
        <v>121</v>
      </c>
      <c r="C29" s="45" t="s">
        <v>134</v>
      </c>
      <c r="D29" s="35" t="s">
        <v>146</v>
      </c>
      <c r="E29" s="29"/>
      <c r="F29" s="29"/>
      <c r="G29" s="29"/>
    </row>
    <row r="30" spans="1:7" ht="60" x14ac:dyDescent="0.2">
      <c r="A30" s="28" t="s">
        <v>314</v>
      </c>
      <c r="B30" s="28" t="s">
        <v>324</v>
      </c>
      <c r="C30" s="30" t="s">
        <v>327</v>
      </c>
      <c r="D30" s="30" t="s">
        <v>328</v>
      </c>
    </row>
    <row r="31" spans="1:7" ht="60" x14ac:dyDescent="0.2">
      <c r="A31" s="28" t="s">
        <v>315</v>
      </c>
      <c r="B31" s="28" t="s">
        <v>325</v>
      </c>
      <c r="C31" s="28" t="s">
        <v>317</v>
      </c>
      <c r="D31" s="28" t="s">
        <v>323</v>
      </c>
    </row>
    <row r="32" spans="1:7" ht="60" x14ac:dyDescent="0.2">
      <c r="A32" s="28" t="s">
        <v>316</v>
      </c>
      <c r="B32" s="28" t="s">
        <v>326</v>
      </c>
      <c r="C32" s="28" t="s">
        <v>318</v>
      </c>
      <c r="D32" s="28" t="s">
        <v>323</v>
      </c>
    </row>
  </sheetData>
  <conditionalFormatting sqref="A1:E1 A30:B30 E2:E30 A31:E1048576">
    <cfRule type="expression" dxfId="894" priority="1764">
      <formula>$A1&lt;&gt;""</formula>
    </cfRule>
  </conditionalFormatting>
  <conditionalFormatting sqref="G1:G1048576">
    <cfRule type="expression" dxfId="893" priority="1760">
      <formula>G1 &lt;&gt; ""</formula>
    </cfRule>
  </conditionalFormatting>
  <conditionalFormatting sqref="D4 A2 C3:D3">
    <cfRule type="expression" dxfId="892" priority="1693" stopIfTrue="1">
      <formula>$A2="comments"</formula>
    </cfRule>
  </conditionalFormatting>
  <conditionalFormatting sqref="D4 A2 C3:D3">
    <cfRule type="expression" dxfId="891" priority="1689" stopIfTrue="1">
      <formula>$A2="file"</formula>
    </cfRule>
    <cfRule type="expression" dxfId="890" priority="1695" stopIfTrue="1">
      <formula>OR($A2="audio", $A2="video")</formula>
    </cfRule>
    <cfRule type="expression" dxfId="889" priority="1702" stopIfTrue="1">
      <formula>$A2="note"</formula>
    </cfRule>
    <cfRule type="expression" dxfId="888" priority="1704" stopIfTrue="1">
      <formula>$A2="barcode"</formula>
    </cfRule>
    <cfRule type="expression" dxfId="887" priority="1706" stopIfTrue="1">
      <formula>OR($A2="geopoint", $A2="geoshape", $A2="geotrace")</formula>
    </cfRule>
  </conditionalFormatting>
  <conditionalFormatting sqref="D4 A2 C3:D3">
    <cfRule type="expression" dxfId="886" priority="1692" stopIfTrue="1">
      <formula>OR(AND(LEFT($A2, 14)="sensor_stream ", LEN($A2)&gt;14, NOT(ISNUMBER(SEARCH(" ", $A2, 15)))), AND(LEFT($A2, 17)="sensor_statistic ", LEN($A2)&gt;17, NOT(ISNUMBER(SEARCH(" ", $A2, 18)))))</formula>
    </cfRule>
    <cfRule type="expression" dxfId="885" priority="1707" stopIfTrue="1">
      <formula>OR($A2="audio audit", $A2="text audit", $A2="speed violations count", $A2="speed violations list", $A2="speed violations audit")</formula>
    </cfRule>
  </conditionalFormatting>
  <conditionalFormatting sqref="D4 A2 C3:D3">
    <cfRule type="expression" dxfId="884" priority="1700" stopIfTrue="1">
      <formula>OR($A2="calculate", $A2="calculate_here")</formula>
    </cfRule>
  </conditionalFormatting>
  <conditionalFormatting sqref="D4 A2 C3:D3">
    <cfRule type="expression" dxfId="883" priority="1691" stopIfTrue="1">
      <formula>$A2="enumerator"</formula>
    </cfRule>
    <cfRule type="expression" dxfId="882" priority="1697" stopIfTrue="1">
      <formula>$A2="image"</formula>
    </cfRule>
    <cfRule type="expression" dxfId="881" priority="1699" stopIfTrue="1">
      <formula>OR($A2="date", $A2="datetime", $A2="time")</formula>
    </cfRule>
    <cfRule type="expression" dxfId="880" priority="1710" stopIfTrue="1">
      <formula>OR(AND(LEFT($A2, 16)="select_multiple ", LEN($A2)&gt;16, NOT(ISNUMBER(SEARCH(" ", $A2, 17)))), AND(LEFT($A2, 11)="select_one ", LEN($A2)&gt;11, NOT(ISNUMBER(SEARCH(" ", $A2, 12)))))</formula>
    </cfRule>
    <cfRule type="expression" dxfId="879" priority="1712" stopIfTrue="1">
      <formula>$A2="decimal"</formula>
    </cfRule>
    <cfRule type="expression" dxfId="878" priority="1714" stopIfTrue="1">
      <formula>$A2="integer"</formula>
    </cfRule>
    <cfRule type="expression" dxfId="877" priority="1716" stopIfTrue="1">
      <formula>$A2="text"</formula>
    </cfRule>
    <cfRule type="expression" dxfId="876" priority="1722" stopIfTrue="1">
      <formula>$A2="begin group"</formula>
    </cfRule>
  </conditionalFormatting>
  <conditionalFormatting sqref="D4 A2 C3:D3">
    <cfRule type="expression" dxfId="875" priority="1708" stopIfTrue="1">
      <formula>OR($A2="username", $A2="phonenumber", $A2="start", $A2="end", $A2="deviceid", $A2="subscriberid", $A2="simserial", $A2="caseid")</formula>
    </cfRule>
    <cfRule type="expression" dxfId="874" priority="1717" stopIfTrue="1">
      <formula>$A2="end repeat"</formula>
    </cfRule>
    <cfRule type="expression" dxfId="873" priority="1719" stopIfTrue="1">
      <formula>$A2="begin repeat"</formula>
    </cfRule>
    <cfRule type="expression" dxfId="872" priority="1720" stopIfTrue="1">
      <formula>$A2="end group"</formula>
    </cfRule>
  </conditionalFormatting>
  <conditionalFormatting sqref="A2 C3">
    <cfRule type="expression" dxfId="871" priority="1721" stopIfTrue="1">
      <formula>$A2="begin group"</formula>
    </cfRule>
  </conditionalFormatting>
  <conditionalFormatting sqref="A2 C3">
    <cfRule type="expression" dxfId="870" priority="1696" stopIfTrue="1">
      <formula>$A2="image"</formula>
    </cfRule>
    <cfRule type="expression" dxfId="869" priority="1698" stopIfTrue="1">
      <formula>OR($A2="date", $A2="datetime", $A2="time")</formula>
    </cfRule>
    <cfRule type="expression" dxfId="868" priority="1709" stopIfTrue="1">
      <formula>OR(AND(LEFT($A2, 16)="select_multiple ", LEN($A2)&gt;16, NOT(ISNUMBER(SEARCH(" ", $A2, 17)))), AND(LEFT($A2, 11)="select_one ", LEN($A2)&gt;11, NOT(ISNUMBER(SEARCH(" ", $A2, 12)))))</formula>
    </cfRule>
  </conditionalFormatting>
  <conditionalFormatting sqref="A2 C3">
    <cfRule type="expression" dxfId="867" priority="1718" stopIfTrue="1">
      <formula>$A2="begin repeat"</formula>
    </cfRule>
  </conditionalFormatting>
  <conditionalFormatting sqref="A2 C3">
    <cfRule type="expression" dxfId="866" priority="1688" stopIfTrue="1">
      <formula>$A2="file"</formula>
    </cfRule>
    <cfRule type="expression" dxfId="865" priority="1694" stopIfTrue="1">
      <formula>OR($A2="audio", $A2="video")</formula>
    </cfRule>
    <cfRule type="expression" dxfId="864" priority="1701" stopIfTrue="1">
      <formula>$A2="note"</formula>
    </cfRule>
    <cfRule type="expression" dxfId="863" priority="1703" stopIfTrue="1">
      <formula>$A2="barcode"</formula>
    </cfRule>
    <cfRule type="expression" dxfId="862" priority="1705" stopIfTrue="1">
      <formula>OR($A2="geopoint", $A2="geoshape", $A2="geotrace")</formula>
    </cfRule>
  </conditionalFormatting>
  <conditionalFormatting sqref="D4 A2 C3:D3">
    <cfRule type="expression" dxfId="861" priority="1690" stopIfTrue="1">
      <formula>$A2="enumerator"</formula>
    </cfRule>
    <cfRule type="expression" dxfId="860" priority="1715" stopIfTrue="1">
      <formula>$A2="text"</formula>
    </cfRule>
  </conditionalFormatting>
  <conditionalFormatting sqref="D4 A2 C3:D3">
    <cfRule type="expression" dxfId="859" priority="1711" stopIfTrue="1">
      <formula>$A2="decimal"</formula>
    </cfRule>
    <cfRule type="expression" dxfId="858" priority="1713" stopIfTrue="1">
      <formula>$A2="integer"</formula>
    </cfRule>
  </conditionalFormatting>
  <conditionalFormatting sqref="A4 A6">
    <cfRule type="expression" dxfId="857" priority="1598" stopIfTrue="1">
      <formula>$A4="comments"</formula>
    </cfRule>
  </conditionalFormatting>
  <conditionalFormatting sqref="A4 A6">
    <cfRule type="expression" dxfId="856" priority="1594" stopIfTrue="1">
      <formula>$A4="file"</formula>
    </cfRule>
    <cfRule type="expression" dxfId="855" priority="1600" stopIfTrue="1">
      <formula>OR($A4="audio", $A4="video")</formula>
    </cfRule>
    <cfRule type="expression" dxfId="854" priority="1607" stopIfTrue="1">
      <formula>$A4="note"</formula>
    </cfRule>
    <cfRule type="expression" dxfId="853" priority="1609" stopIfTrue="1">
      <formula>$A4="barcode"</formula>
    </cfRule>
    <cfRule type="expression" dxfId="852" priority="1611" stopIfTrue="1">
      <formula>OR($A4="geopoint", $A4="geoshape", $A4="geotrace")</formula>
    </cfRule>
  </conditionalFormatting>
  <conditionalFormatting sqref="A4 A6">
    <cfRule type="expression" dxfId="851" priority="1597" stopIfTrue="1">
      <formula>OR(AND(LEFT($A4, 14)="sensor_stream ", LEN($A4)&gt;14, NOT(ISNUMBER(SEARCH(" ", $A4, 15)))), AND(LEFT($A4, 17)="sensor_statistic ", LEN($A4)&gt;17, NOT(ISNUMBER(SEARCH(" ", $A4, 18)))))</formula>
    </cfRule>
    <cfRule type="expression" dxfId="850" priority="1612" stopIfTrue="1">
      <formula>OR($A4="audio audit", $A4="text audit", $A4="speed violations count", $A4="speed violations list", $A4="speed violations audit")</formula>
    </cfRule>
  </conditionalFormatting>
  <conditionalFormatting sqref="A4 A6">
    <cfRule type="expression" dxfId="849" priority="1605" stopIfTrue="1">
      <formula>OR($A4="calculate", $A4="calculate_here")</formula>
    </cfRule>
  </conditionalFormatting>
  <conditionalFormatting sqref="A4 A6">
    <cfRule type="expression" dxfId="848" priority="1596" stopIfTrue="1">
      <formula>$A4="enumerator"</formula>
    </cfRule>
    <cfRule type="expression" dxfId="847" priority="1602" stopIfTrue="1">
      <formula>$A4="image"</formula>
    </cfRule>
    <cfRule type="expression" dxfId="846" priority="1604" stopIfTrue="1">
      <formula>OR($A4="date", $A4="datetime", $A4="time")</formula>
    </cfRule>
    <cfRule type="expression" dxfId="845" priority="1615" stopIfTrue="1">
      <formula>OR(AND(LEFT($A4, 16)="select_multiple ", LEN($A4)&gt;16, NOT(ISNUMBER(SEARCH(" ", $A4, 17)))), AND(LEFT($A4, 11)="select_one ", LEN($A4)&gt;11, NOT(ISNUMBER(SEARCH(" ", $A4, 12)))))</formula>
    </cfRule>
    <cfRule type="expression" dxfId="844" priority="1617" stopIfTrue="1">
      <formula>$A4="decimal"</formula>
    </cfRule>
    <cfRule type="expression" dxfId="843" priority="1619" stopIfTrue="1">
      <formula>$A4="integer"</formula>
    </cfRule>
    <cfRule type="expression" dxfId="842" priority="1621" stopIfTrue="1">
      <formula>$A4="text"</formula>
    </cfRule>
    <cfRule type="expression" dxfId="841" priority="1627" stopIfTrue="1">
      <formula>$A4="begin group"</formula>
    </cfRule>
  </conditionalFormatting>
  <conditionalFormatting sqref="A4 A6">
    <cfRule type="expression" dxfId="840" priority="1613" stopIfTrue="1">
      <formula>OR($A4="username", $A4="phonenumber", $A4="start", $A4="end", $A4="deviceid", $A4="subscriberid", $A4="simserial", $A4="caseid")</formula>
    </cfRule>
    <cfRule type="expression" dxfId="839" priority="1622" stopIfTrue="1">
      <formula>$A4="end repeat"</formula>
    </cfRule>
    <cfRule type="expression" dxfId="838" priority="1624" stopIfTrue="1">
      <formula>$A4="begin repeat"</formula>
    </cfRule>
    <cfRule type="expression" dxfId="837" priority="1625" stopIfTrue="1">
      <formula>$A4="end group"</formula>
    </cfRule>
  </conditionalFormatting>
  <conditionalFormatting sqref="A4 A6">
    <cfRule type="expression" dxfId="836" priority="1626" stopIfTrue="1">
      <formula>$A4="begin group"</formula>
    </cfRule>
  </conditionalFormatting>
  <conditionalFormatting sqref="A4 A6">
    <cfRule type="expression" dxfId="835" priority="1601" stopIfTrue="1">
      <formula>$A4="image"</formula>
    </cfRule>
    <cfRule type="expression" dxfId="834" priority="1603" stopIfTrue="1">
      <formula>OR($A4="date", $A4="datetime", $A4="time")</formula>
    </cfRule>
    <cfRule type="expression" dxfId="833" priority="1614" stopIfTrue="1">
      <formula>OR(AND(LEFT($A4, 16)="select_multiple ", LEN($A4)&gt;16, NOT(ISNUMBER(SEARCH(" ", $A4, 17)))), AND(LEFT($A4, 11)="select_one ", LEN($A4)&gt;11, NOT(ISNUMBER(SEARCH(" ", $A4, 12)))))</formula>
    </cfRule>
  </conditionalFormatting>
  <conditionalFormatting sqref="A4 A6">
    <cfRule type="expression" dxfId="832" priority="1623" stopIfTrue="1">
      <formula>$A4="begin repeat"</formula>
    </cfRule>
  </conditionalFormatting>
  <conditionalFormatting sqref="A4 A6">
    <cfRule type="expression" dxfId="831" priority="1593" stopIfTrue="1">
      <formula>$A4="file"</formula>
    </cfRule>
    <cfRule type="expression" dxfId="830" priority="1599" stopIfTrue="1">
      <formula>OR($A4="audio", $A4="video")</formula>
    </cfRule>
    <cfRule type="expression" dxfId="829" priority="1606" stopIfTrue="1">
      <formula>$A4="note"</formula>
    </cfRule>
    <cfRule type="expression" dxfId="828" priority="1608" stopIfTrue="1">
      <formula>$A4="barcode"</formula>
    </cfRule>
    <cfRule type="expression" dxfId="827" priority="1610" stopIfTrue="1">
      <formula>OR($A4="geopoint", $A4="geoshape", $A4="geotrace")</formula>
    </cfRule>
  </conditionalFormatting>
  <conditionalFormatting sqref="A4 A6">
    <cfRule type="expression" dxfId="826" priority="1595" stopIfTrue="1">
      <formula>$A4="enumerator"</formula>
    </cfRule>
    <cfRule type="expression" dxfId="825" priority="1620" stopIfTrue="1">
      <formula>$A4="text"</formula>
    </cfRule>
  </conditionalFormatting>
  <conditionalFormatting sqref="A4 A6">
    <cfRule type="expression" dxfId="824" priority="1616" stopIfTrue="1">
      <formula>$A4="decimal"</formula>
    </cfRule>
    <cfRule type="expression" dxfId="823" priority="1618" stopIfTrue="1">
      <formula>$A4="integer"</formula>
    </cfRule>
  </conditionalFormatting>
  <conditionalFormatting sqref="C4">
    <cfRule type="expression" dxfId="822" priority="1563" stopIfTrue="1">
      <formula>$A4="comments"</formula>
    </cfRule>
  </conditionalFormatting>
  <conditionalFormatting sqref="C4">
    <cfRule type="expression" dxfId="821" priority="1559" stopIfTrue="1">
      <formula>$A4="file"</formula>
    </cfRule>
    <cfRule type="expression" dxfId="820" priority="1565" stopIfTrue="1">
      <formula>OR($A4="audio", $A4="video")</formula>
    </cfRule>
    <cfRule type="expression" dxfId="819" priority="1572" stopIfTrue="1">
      <formula>$A4="note"</formula>
    </cfRule>
    <cfRule type="expression" dxfId="818" priority="1574" stopIfTrue="1">
      <formula>$A4="barcode"</formula>
    </cfRule>
    <cfRule type="expression" dxfId="817" priority="1576" stopIfTrue="1">
      <formula>OR($A4="geopoint", $A4="geoshape", $A4="geotrace")</formula>
    </cfRule>
  </conditionalFormatting>
  <conditionalFormatting sqref="C4">
    <cfRule type="expression" dxfId="816" priority="1562" stopIfTrue="1">
      <formula>OR(AND(LEFT($A4, 14)="sensor_stream ", LEN($A4)&gt;14, NOT(ISNUMBER(SEARCH(" ", $A4, 15)))), AND(LEFT($A4, 17)="sensor_statistic ", LEN($A4)&gt;17, NOT(ISNUMBER(SEARCH(" ", $A4, 18)))))</formula>
    </cfRule>
    <cfRule type="expression" dxfId="815" priority="1577" stopIfTrue="1">
      <formula>OR($A4="audio audit", $A4="text audit", $A4="speed violations count", $A4="speed violations list", $A4="speed violations audit")</formula>
    </cfRule>
  </conditionalFormatting>
  <conditionalFormatting sqref="C4">
    <cfRule type="expression" dxfId="814" priority="1570" stopIfTrue="1">
      <formula>OR($A4="calculate", $A4="calculate_here")</formula>
    </cfRule>
  </conditionalFormatting>
  <conditionalFormatting sqref="C4">
    <cfRule type="expression" dxfId="813" priority="1561" stopIfTrue="1">
      <formula>$A4="enumerator"</formula>
    </cfRule>
    <cfRule type="expression" dxfId="812" priority="1567" stopIfTrue="1">
      <formula>$A4="image"</formula>
    </cfRule>
    <cfRule type="expression" dxfId="811" priority="1569" stopIfTrue="1">
      <formula>OR($A4="date", $A4="datetime", $A4="time")</formula>
    </cfRule>
    <cfRule type="expression" dxfId="810" priority="1580" stopIfTrue="1">
      <formula>OR(AND(LEFT($A4, 16)="select_multiple ", LEN($A4)&gt;16, NOT(ISNUMBER(SEARCH(" ", $A4, 17)))), AND(LEFT($A4, 11)="select_one ", LEN($A4)&gt;11, NOT(ISNUMBER(SEARCH(" ", $A4, 12)))))</formula>
    </cfRule>
    <cfRule type="expression" dxfId="809" priority="1582" stopIfTrue="1">
      <formula>$A4="decimal"</formula>
    </cfRule>
    <cfRule type="expression" dxfId="808" priority="1584" stopIfTrue="1">
      <formula>$A4="integer"</formula>
    </cfRule>
    <cfRule type="expression" dxfId="807" priority="1586" stopIfTrue="1">
      <formula>$A4="text"</formula>
    </cfRule>
    <cfRule type="expression" dxfId="806" priority="1592" stopIfTrue="1">
      <formula>$A4="begin group"</formula>
    </cfRule>
  </conditionalFormatting>
  <conditionalFormatting sqref="C4">
    <cfRule type="expression" dxfId="805" priority="1578" stopIfTrue="1">
      <formula>OR($A4="username", $A4="phonenumber", $A4="start", $A4="end", $A4="deviceid", $A4="subscriberid", $A4="simserial", $A4="caseid")</formula>
    </cfRule>
    <cfRule type="expression" dxfId="804" priority="1587" stopIfTrue="1">
      <formula>$A4="end repeat"</formula>
    </cfRule>
    <cfRule type="expression" dxfId="803" priority="1589" stopIfTrue="1">
      <formula>$A4="begin repeat"</formula>
    </cfRule>
    <cfRule type="expression" dxfId="802" priority="1590" stopIfTrue="1">
      <formula>$A4="end group"</formula>
    </cfRule>
  </conditionalFormatting>
  <conditionalFormatting sqref="C4">
    <cfRule type="expression" dxfId="801" priority="1591" stopIfTrue="1">
      <formula>$A4="begin group"</formula>
    </cfRule>
  </conditionalFormatting>
  <conditionalFormatting sqref="C4">
    <cfRule type="expression" dxfId="800" priority="1566" stopIfTrue="1">
      <formula>$A4="image"</formula>
    </cfRule>
    <cfRule type="expression" dxfId="799" priority="1568" stopIfTrue="1">
      <formula>OR($A4="date", $A4="datetime", $A4="time")</formula>
    </cfRule>
    <cfRule type="expression" dxfId="798" priority="1579" stopIfTrue="1">
      <formula>OR(AND(LEFT($A4, 16)="select_multiple ", LEN($A4)&gt;16, NOT(ISNUMBER(SEARCH(" ", $A4, 17)))), AND(LEFT($A4, 11)="select_one ", LEN($A4)&gt;11, NOT(ISNUMBER(SEARCH(" ", $A4, 12)))))</formula>
    </cfRule>
  </conditionalFormatting>
  <conditionalFormatting sqref="C4">
    <cfRule type="expression" dxfId="797" priority="1588" stopIfTrue="1">
      <formula>$A4="begin repeat"</formula>
    </cfRule>
  </conditionalFormatting>
  <conditionalFormatting sqref="C4">
    <cfRule type="expression" dxfId="796" priority="1558" stopIfTrue="1">
      <formula>$A4="file"</formula>
    </cfRule>
    <cfRule type="expression" dxfId="795" priority="1564" stopIfTrue="1">
      <formula>OR($A4="audio", $A4="video")</formula>
    </cfRule>
    <cfRule type="expression" dxfId="794" priority="1571" stopIfTrue="1">
      <formula>$A4="note"</formula>
    </cfRule>
    <cfRule type="expression" dxfId="793" priority="1573" stopIfTrue="1">
      <formula>$A4="barcode"</formula>
    </cfRule>
    <cfRule type="expression" dxfId="792" priority="1575" stopIfTrue="1">
      <formula>OR($A4="geopoint", $A4="geoshape", $A4="geotrace")</formula>
    </cfRule>
  </conditionalFormatting>
  <conditionalFormatting sqref="C4">
    <cfRule type="expression" dxfId="791" priority="1560" stopIfTrue="1">
      <formula>$A4="enumerator"</formula>
    </cfRule>
    <cfRule type="expression" dxfId="790" priority="1585" stopIfTrue="1">
      <formula>$A4="text"</formula>
    </cfRule>
  </conditionalFormatting>
  <conditionalFormatting sqref="C4">
    <cfRule type="expression" dxfId="789" priority="1581" stopIfTrue="1">
      <formula>$A4="decimal"</formula>
    </cfRule>
    <cfRule type="expression" dxfId="788" priority="1583" stopIfTrue="1">
      <formula>$A4="integer"</formula>
    </cfRule>
  </conditionalFormatting>
  <conditionalFormatting sqref="B6">
    <cfRule type="expression" dxfId="787" priority="1370" stopIfTrue="1">
      <formula>$A6="comments"</formula>
    </cfRule>
  </conditionalFormatting>
  <conditionalFormatting sqref="B6">
    <cfRule type="expression" dxfId="786" priority="1366" stopIfTrue="1">
      <formula>$A6="file"</formula>
    </cfRule>
    <cfRule type="expression" dxfId="785" priority="1371" stopIfTrue="1">
      <formula>OR($A6="audio", $A6="video")</formula>
    </cfRule>
    <cfRule type="expression" dxfId="784" priority="1375" stopIfTrue="1">
      <formula>$A6="note"</formula>
    </cfRule>
    <cfRule type="expression" dxfId="783" priority="1376" stopIfTrue="1">
      <formula>$A6="barcode"</formula>
    </cfRule>
    <cfRule type="expression" dxfId="782" priority="1377" stopIfTrue="1">
      <formula>OR($A6="geopoint", $A6="geoshape", $A6="geotrace")</formula>
    </cfRule>
  </conditionalFormatting>
  <conditionalFormatting sqref="B6">
    <cfRule type="expression" dxfId="781" priority="1369" stopIfTrue="1">
      <formula>OR(AND(LEFT($A6, 14)="sensor_stream ", LEN($A6)&gt;14, NOT(ISNUMBER(SEARCH(" ", $A6, 15)))), AND(LEFT($A6, 17)="sensor_statistic ", LEN($A6)&gt;17, NOT(ISNUMBER(SEARCH(" ", $A6, 18)))))</formula>
    </cfRule>
    <cfRule type="expression" dxfId="780" priority="1378" stopIfTrue="1">
      <formula>OR($A6="audio audit", $A6="text audit", $A6="speed violations count", $A6="speed violations list", $A6="speed violations audit")</formula>
    </cfRule>
  </conditionalFormatting>
  <conditionalFormatting sqref="B6">
    <cfRule type="expression" dxfId="779" priority="1374" stopIfTrue="1">
      <formula>OR($A6="calculate", $A6="calculate_here")</formula>
    </cfRule>
  </conditionalFormatting>
  <conditionalFormatting sqref="B6">
    <cfRule type="expression" dxfId="778" priority="1368" stopIfTrue="1">
      <formula>$A6="enumerator"</formula>
    </cfRule>
    <cfRule type="expression" dxfId="777" priority="1372" stopIfTrue="1">
      <formula>$A6="image"</formula>
    </cfRule>
    <cfRule type="expression" dxfId="776" priority="1373" stopIfTrue="1">
      <formula>OR($A6="date", $A6="datetime", $A6="time")</formula>
    </cfRule>
    <cfRule type="expression" dxfId="775" priority="1380" stopIfTrue="1">
      <formula>OR(AND(LEFT($A6, 16)="select_multiple ", LEN($A6)&gt;16, NOT(ISNUMBER(SEARCH(" ", $A6, 17)))), AND(LEFT($A6, 11)="select_one ", LEN($A6)&gt;11, NOT(ISNUMBER(SEARCH(" ", $A6, 12)))))</formula>
    </cfRule>
    <cfRule type="expression" dxfId="774" priority="1382" stopIfTrue="1">
      <formula>$A6="decimal"</formula>
    </cfRule>
    <cfRule type="expression" dxfId="773" priority="1384" stopIfTrue="1">
      <formula>$A6="integer"</formula>
    </cfRule>
    <cfRule type="expression" dxfId="772" priority="1386" stopIfTrue="1">
      <formula>$A6="text"</formula>
    </cfRule>
    <cfRule type="expression" dxfId="771" priority="1390" stopIfTrue="1">
      <formula>$A6="begin group"</formula>
    </cfRule>
  </conditionalFormatting>
  <conditionalFormatting sqref="B6">
    <cfRule type="expression" dxfId="770" priority="1379" stopIfTrue="1">
      <formula>OR($A6="username", $A6="phonenumber", $A6="start", $A6="end", $A6="deviceid", $A6="subscriberid", $A6="simserial", $A6="caseid")</formula>
    </cfRule>
    <cfRule type="expression" dxfId="769" priority="1387" stopIfTrue="1">
      <formula>$A6="end repeat"</formula>
    </cfRule>
    <cfRule type="expression" dxfId="768" priority="1388" stopIfTrue="1">
      <formula>$A6="begin repeat"</formula>
    </cfRule>
    <cfRule type="expression" dxfId="767" priority="1389" stopIfTrue="1">
      <formula>$A6="end group"</formula>
    </cfRule>
  </conditionalFormatting>
  <conditionalFormatting sqref="B6">
    <cfRule type="expression" dxfId="766" priority="1367" stopIfTrue="1">
      <formula>$A6="enumerator"</formula>
    </cfRule>
    <cfRule type="expression" dxfId="765" priority="1385" stopIfTrue="1">
      <formula>$A6="text"</formula>
    </cfRule>
  </conditionalFormatting>
  <conditionalFormatting sqref="B6">
    <cfRule type="expression" dxfId="764" priority="1381" stopIfTrue="1">
      <formula>$A6="decimal"</formula>
    </cfRule>
    <cfRule type="expression" dxfId="763" priority="1383" stopIfTrue="1">
      <formula>$A6="integer"</formula>
    </cfRule>
  </conditionalFormatting>
  <conditionalFormatting sqref="B6">
    <cfRule type="containsText" dxfId="762" priority="1365" operator="containsText" text="_oth">
      <formula>NOT(ISERROR(SEARCH("_oth",B6)))</formula>
    </cfRule>
  </conditionalFormatting>
  <conditionalFormatting sqref="D6">
    <cfRule type="expression" dxfId="761" priority="1344" stopIfTrue="1">
      <formula>$A6="comments"</formula>
    </cfRule>
  </conditionalFormatting>
  <conditionalFormatting sqref="D6">
    <cfRule type="expression" dxfId="760" priority="1340" stopIfTrue="1">
      <formula>$A6="file"</formula>
    </cfRule>
    <cfRule type="expression" dxfId="759" priority="1345" stopIfTrue="1">
      <formula>OR($A6="audio", $A6="video")</formula>
    </cfRule>
    <cfRule type="expression" dxfId="758" priority="1349" stopIfTrue="1">
      <formula>$A6="note"</formula>
    </cfRule>
    <cfRule type="expression" dxfId="757" priority="1350" stopIfTrue="1">
      <formula>$A6="barcode"</formula>
    </cfRule>
    <cfRule type="expression" dxfId="756" priority="1351" stopIfTrue="1">
      <formula>OR($A6="geopoint", $A6="geoshape", $A6="geotrace")</formula>
    </cfRule>
  </conditionalFormatting>
  <conditionalFormatting sqref="D6">
    <cfRule type="expression" dxfId="755" priority="1343" stopIfTrue="1">
      <formula>OR(AND(LEFT($A6, 14)="sensor_stream ", LEN($A6)&gt;14, NOT(ISNUMBER(SEARCH(" ", $A6, 15)))), AND(LEFT($A6, 17)="sensor_statistic ", LEN($A6)&gt;17, NOT(ISNUMBER(SEARCH(" ", $A6, 18)))))</formula>
    </cfRule>
    <cfRule type="expression" dxfId="754" priority="1352" stopIfTrue="1">
      <formula>OR($A6="audio audit", $A6="text audit", $A6="speed violations count", $A6="speed violations list", $A6="speed violations audit")</formula>
    </cfRule>
  </conditionalFormatting>
  <conditionalFormatting sqref="D6">
    <cfRule type="expression" dxfId="753" priority="1348" stopIfTrue="1">
      <formula>OR($A6="calculate", $A6="calculate_here")</formula>
    </cfRule>
  </conditionalFormatting>
  <conditionalFormatting sqref="D6">
    <cfRule type="expression" dxfId="752" priority="1342" stopIfTrue="1">
      <formula>$A6="enumerator"</formula>
    </cfRule>
    <cfRule type="expression" dxfId="751" priority="1346" stopIfTrue="1">
      <formula>$A6="image"</formula>
    </cfRule>
    <cfRule type="expression" dxfId="750" priority="1347" stopIfTrue="1">
      <formula>OR($A6="date", $A6="datetime", $A6="time")</formula>
    </cfRule>
    <cfRule type="expression" dxfId="749" priority="1354" stopIfTrue="1">
      <formula>OR(AND(LEFT($A6, 16)="select_multiple ", LEN($A6)&gt;16, NOT(ISNUMBER(SEARCH(" ", $A6, 17)))), AND(LEFT($A6, 11)="select_one ", LEN($A6)&gt;11, NOT(ISNUMBER(SEARCH(" ", $A6, 12)))))</formula>
    </cfRule>
    <cfRule type="expression" dxfId="748" priority="1356" stopIfTrue="1">
      <formula>$A6="decimal"</formula>
    </cfRule>
    <cfRule type="expression" dxfId="747" priority="1358" stopIfTrue="1">
      <formula>$A6="integer"</formula>
    </cfRule>
    <cfRule type="expression" dxfId="746" priority="1360" stopIfTrue="1">
      <formula>$A6="text"</formula>
    </cfRule>
    <cfRule type="expression" dxfId="745" priority="1364" stopIfTrue="1">
      <formula>$A6="begin group"</formula>
    </cfRule>
  </conditionalFormatting>
  <conditionalFormatting sqref="D6">
    <cfRule type="expression" dxfId="744" priority="1353" stopIfTrue="1">
      <formula>OR($A6="username", $A6="phonenumber", $A6="start", $A6="end", $A6="deviceid", $A6="subscriberid", $A6="simserial", $A6="caseid")</formula>
    </cfRule>
    <cfRule type="expression" dxfId="743" priority="1361" stopIfTrue="1">
      <formula>$A6="end repeat"</formula>
    </cfRule>
    <cfRule type="expression" dxfId="742" priority="1362" stopIfTrue="1">
      <formula>$A6="begin repeat"</formula>
    </cfRule>
    <cfRule type="expression" dxfId="741" priority="1363" stopIfTrue="1">
      <formula>$A6="end group"</formula>
    </cfRule>
  </conditionalFormatting>
  <conditionalFormatting sqref="D6">
    <cfRule type="expression" dxfId="740" priority="1341" stopIfTrue="1">
      <formula>$A6="enumerator"</formula>
    </cfRule>
    <cfRule type="expression" dxfId="739" priority="1359" stopIfTrue="1">
      <formula>$A6="text"</formula>
    </cfRule>
  </conditionalFormatting>
  <conditionalFormatting sqref="D6">
    <cfRule type="expression" dxfId="738" priority="1355" stopIfTrue="1">
      <formula>$A6="decimal"</formula>
    </cfRule>
    <cfRule type="expression" dxfId="737" priority="1357" stopIfTrue="1">
      <formula>$A6="integer"</formula>
    </cfRule>
  </conditionalFormatting>
  <conditionalFormatting sqref="D6">
    <cfRule type="containsText" dxfId="736" priority="1339" operator="containsText" text="_oth">
      <formula>NOT(ISERROR(SEARCH("_oth",D6)))</formula>
    </cfRule>
  </conditionalFormatting>
  <conditionalFormatting sqref="A7">
    <cfRule type="expression" dxfId="735" priority="1273" stopIfTrue="1">
      <formula>$A7="comments"</formula>
    </cfRule>
  </conditionalFormatting>
  <conditionalFormatting sqref="A7">
    <cfRule type="expression" dxfId="734" priority="1269" stopIfTrue="1">
      <formula>$A7="file"</formula>
    </cfRule>
    <cfRule type="expression" dxfId="733" priority="1275" stopIfTrue="1">
      <formula>OR($A7="audio", $A7="video")</formula>
    </cfRule>
    <cfRule type="expression" dxfId="732" priority="1282" stopIfTrue="1">
      <formula>$A7="note"</formula>
    </cfRule>
    <cfRule type="expression" dxfId="731" priority="1284" stopIfTrue="1">
      <formula>$A7="barcode"</formula>
    </cfRule>
    <cfRule type="expression" dxfId="730" priority="1286" stopIfTrue="1">
      <formula>OR($A7="geopoint", $A7="geoshape", $A7="geotrace")</formula>
    </cfRule>
  </conditionalFormatting>
  <conditionalFormatting sqref="A7">
    <cfRule type="expression" dxfId="729" priority="1272" stopIfTrue="1">
      <formula>OR(AND(LEFT($A7, 14)="sensor_stream ", LEN($A7)&gt;14, NOT(ISNUMBER(SEARCH(" ", $A7, 15)))), AND(LEFT($A7, 17)="sensor_statistic ", LEN($A7)&gt;17, NOT(ISNUMBER(SEARCH(" ", $A7, 18)))))</formula>
    </cfRule>
    <cfRule type="expression" dxfId="728" priority="1287" stopIfTrue="1">
      <formula>OR($A7="audio audit", $A7="text audit", $A7="speed violations count", $A7="speed violations list", $A7="speed violations audit")</formula>
    </cfRule>
  </conditionalFormatting>
  <conditionalFormatting sqref="A7">
    <cfRule type="expression" dxfId="727" priority="1280" stopIfTrue="1">
      <formula>OR($A7="calculate", $A7="calculate_here")</formula>
    </cfRule>
  </conditionalFormatting>
  <conditionalFormatting sqref="A7">
    <cfRule type="expression" dxfId="726" priority="1271" stopIfTrue="1">
      <formula>$A7="enumerator"</formula>
    </cfRule>
    <cfRule type="expression" dxfId="725" priority="1277" stopIfTrue="1">
      <formula>$A7="image"</formula>
    </cfRule>
    <cfRule type="expression" dxfId="724" priority="1279" stopIfTrue="1">
      <formula>OR($A7="date", $A7="datetime", $A7="time")</formula>
    </cfRule>
    <cfRule type="expression" dxfId="723" priority="1290" stopIfTrue="1">
      <formula>OR(AND(LEFT($A7, 16)="select_multiple ", LEN($A7)&gt;16, NOT(ISNUMBER(SEARCH(" ", $A7, 17)))), AND(LEFT($A7, 11)="select_one ", LEN($A7)&gt;11, NOT(ISNUMBER(SEARCH(" ", $A7, 12)))))</formula>
    </cfRule>
    <cfRule type="expression" dxfId="722" priority="1292" stopIfTrue="1">
      <formula>$A7="decimal"</formula>
    </cfRule>
    <cfRule type="expression" dxfId="721" priority="1294" stopIfTrue="1">
      <formula>$A7="integer"</formula>
    </cfRule>
    <cfRule type="expression" dxfId="720" priority="1296" stopIfTrue="1">
      <formula>$A7="text"</formula>
    </cfRule>
    <cfRule type="expression" dxfId="719" priority="1302" stopIfTrue="1">
      <formula>$A7="begin group"</formula>
    </cfRule>
  </conditionalFormatting>
  <conditionalFormatting sqref="A7">
    <cfRule type="expression" dxfId="718" priority="1288" stopIfTrue="1">
      <formula>OR($A7="username", $A7="phonenumber", $A7="start", $A7="end", $A7="deviceid", $A7="subscriberid", $A7="simserial", $A7="caseid")</formula>
    </cfRule>
    <cfRule type="expression" dxfId="717" priority="1297" stopIfTrue="1">
      <formula>$A7="end repeat"</formula>
    </cfRule>
    <cfRule type="expression" dxfId="716" priority="1299" stopIfTrue="1">
      <formula>$A7="begin repeat"</formula>
    </cfRule>
    <cfRule type="expression" dxfId="715" priority="1300" stopIfTrue="1">
      <formula>$A7="end group"</formula>
    </cfRule>
  </conditionalFormatting>
  <conditionalFormatting sqref="A7">
    <cfRule type="expression" dxfId="714" priority="1301" stopIfTrue="1">
      <formula>$A7="begin group"</formula>
    </cfRule>
  </conditionalFormatting>
  <conditionalFormatting sqref="A7">
    <cfRule type="expression" dxfId="713" priority="1276" stopIfTrue="1">
      <formula>$A7="image"</formula>
    </cfRule>
    <cfRule type="expression" dxfId="712" priority="1278" stopIfTrue="1">
      <formula>OR($A7="date", $A7="datetime", $A7="time")</formula>
    </cfRule>
    <cfRule type="expression" dxfId="711" priority="1289" stopIfTrue="1">
      <formula>OR(AND(LEFT($A7, 16)="select_multiple ", LEN($A7)&gt;16, NOT(ISNUMBER(SEARCH(" ", $A7, 17)))), AND(LEFT($A7, 11)="select_one ", LEN($A7)&gt;11, NOT(ISNUMBER(SEARCH(" ", $A7, 12)))))</formula>
    </cfRule>
  </conditionalFormatting>
  <conditionalFormatting sqref="A7">
    <cfRule type="expression" dxfId="710" priority="1298" stopIfTrue="1">
      <formula>$A7="begin repeat"</formula>
    </cfRule>
  </conditionalFormatting>
  <conditionalFormatting sqref="A7">
    <cfRule type="expression" dxfId="709" priority="1268" stopIfTrue="1">
      <formula>$A7="file"</formula>
    </cfRule>
    <cfRule type="expression" dxfId="708" priority="1274" stopIfTrue="1">
      <formula>OR($A7="audio", $A7="video")</formula>
    </cfRule>
    <cfRule type="expression" dxfId="707" priority="1281" stopIfTrue="1">
      <formula>$A7="note"</formula>
    </cfRule>
    <cfRule type="expression" dxfId="706" priority="1283" stopIfTrue="1">
      <formula>$A7="barcode"</formula>
    </cfRule>
    <cfRule type="expression" dxfId="705" priority="1285" stopIfTrue="1">
      <formula>OR($A7="geopoint", $A7="geoshape", $A7="geotrace")</formula>
    </cfRule>
  </conditionalFormatting>
  <conditionalFormatting sqref="A7">
    <cfRule type="expression" dxfId="704" priority="1270" stopIfTrue="1">
      <formula>$A7="enumerator"</formula>
    </cfRule>
    <cfRule type="expression" dxfId="703" priority="1295" stopIfTrue="1">
      <formula>$A7="text"</formula>
    </cfRule>
  </conditionalFormatting>
  <conditionalFormatting sqref="A7">
    <cfRule type="expression" dxfId="702" priority="1291" stopIfTrue="1">
      <formula>$A7="decimal"</formula>
    </cfRule>
    <cfRule type="expression" dxfId="701" priority="1293" stopIfTrue="1">
      <formula>$A7="integer"</formula>
    </cfRule>
  </conditionalFormatting>
  <conditionalFormatting sqref="A7">
    <cfRule type="containsText" dxfId="700" priority="1267" operator="containsText" text="_oth">
      <formula>NOT(ISERROR(SEARCH("_oth",A7)))</formula>
    </cfRule>
  </conditionalFormatting>
  <conditionalFormatting sqref="D7">
    <cfRule type="expression" dxfId="699" priority="1210" stopIfTrue="1">
      <formula>$A7="comments"</formula>
    </cfRule>
  </conditionalFormatting>
  <conditionalFormatting sqref="D7">
    <cfRule type="expression" dxfId="698" priority="1206" stopIfTrue="1">
      <formula>$A7="file"</formula>
    </cfRule>
    <cfRule type="expression" dxfId="697" priority="1211" stopIfTrue="1">
      <formula>OR($A7="audio", $A7="video")</formula>
    </cfRule>
    <cfRule type="expression" dxfId="696" priority="1215" stopIfTrue="1">
      <formula>$A7="note"</formula>
    </cfRule>
    <cfRule type="expression" dxfId="695" priority="1216" stopIfTrue="1">
      <formula>$A7="barcode"</formula>
    </cfRule>
    <cfRule type="expression" dxfId="694" priority="1217" stopIfTrue="1">
      <formula>OR($A7="geopoint", $A7="geoshape", $A7="geotrace")</formula>
    </cfRule>
  </conditionalFormatting>
  <conditionalFormatting sqref="D7">
    <cfRule type="expression" dxfId="693" priority="1209" stopIfTrue="1">
      <formula>OR(AND(LEFT($A7, 14)="sensor_stream ", LEN($A7)&gt;14, NOT(ISNUMBER(SEARCH(" ", $A7, 15)))), AND(LEFT($A7, 17)="sensor_statistic ", LEN($A7)&gt;17, NOT(ISNUMBER(SEARCH(" ", $A7, 18)))))</formula>
    </cfRule>
    <cfRule type="expression" dxfId="692" priority="1218" stopIfTrue="1">
      <formula>OR($A7="audio audit", $A7="text audit", $A7="speed violations count", $A7="speed violations list", $A7="speed violations audit")</formula>
    </cfRule>
  </conditionalFormatting>
  <conditionalFormatting sqref="D7">
    <cfRule type="expression" dxfId="691" priority="1214" stopIfTrue="1">
      <formula>OR($A7="calculate", $A7="calculate_here")</formula>
    </cfRule>
  </conditionalFormatting>
  <conditionalFormatting sqref="D7">
    <cfRule type="expression" dxfId="690" priority="1208" stopIfTrue="1">
      <formula>$A7="enumerator"</formula>
    </cfRule>
    <cfRule type="expression" dxfId="689" priority="1212" stopIfTrue="1">
      <formula>$A7="image"</formula>
    </cfRule>
    <cfRule type="expression" dxfId="688" priority="1213" stopIfTrue="1">
      <formula>OR($A7="date", $A7="datetime", $A7="time")</formula>
    </cfRule>
    <cfRule type="expression" dxfId="687" priority="1220" stopIfTrue="1">
      <formula>OR(AND(LEFT($A7, 16)="select_multiple ", LEN($A7)&gt;16, NOT(ISNUMBER(SEARCH(" ", $A7, 17)))), AND(LEFT($A7, 11)="select_one ", LEN($A7)&gt;11, NOT(ISNUMBER(SEARCH(" ", $A7, 12)))))</formula>
    </cfRule>
    <cfRule type="expression" dxfId="686" priority="1222" stopIfTrue="1">
      <formula>$A7="decimal"</formula>
    </cfRule>
    <cfRule type="expression" dxfId="685" priority="1224" stopIfTrue="1">
      <formula>$A7="integer"</formula>
    </cfRule>
    <cfRule type="expression" dxfId="684" priority="1226" stopIfTrue="1">
      <formula>$A7="text"</formula>
    </cfRule>
    <cfRule type="expression" dxfId="683" priority="1230" stopIfTrue="1">
      <formula>$A7="begin group"</formula>
    </cfRule>
  </conditionalFormatting>
  <conditionalFormatting sqref="D7">
    <cfRule type="expression" dxfId="682" priority="1219" stopIfTrue="1">
      <formula>OR($A7="username", $A7="phonenumber", $A7="start", $A7="end", $A7="deviceid", $A7="subscriberid", $A7="simserial", $A7="caseid")</formula>
    </cfRule>
    <cfRule type="expression" dxfId="681" priority="1227" stopIfTrue="1">
      <formula>$A7="end repeat"</formula>
    </cfRule>
    <cfRule type="expression" dxfId="680" priority="1228" stopIfTrue="1">
      <formula>$A7="begin repeat"</formula>
    </cfRule>
    <cfRule type="expression" dxfId="679" priority="1229" stopIfTrue="1">
      <formula>$A7="end group"</formula>
    </cfRule>
  </conditionalFormatting>
  <conditionalFormatting sqref="D7">
    <cfRule type="expression" dxfId="678" priority="1207" stopIfTrue="1">
      <formula>$A7="enumerator"</formula>
    </cfRule>
    <cfRule type="expression" dxfId="677" priority="1225" stopIfTrue="1">
      <formula>$A7="text"</formula>
    </cfRule>
  </conditionalFormatting>
  <conditionalFormatting sqref="D7">
    <cfRule type="expression" dxfId="676" priority="1221" stopIfTrue="1">
      <formula>$A7="decimal"</formula>
    </cfRule>
    <cfRule type="expression" dxfId="675" priority="1223" stopIfTrue="1">
      <formula>$A7="integer"</formula>
    </cfRule>
  </conditionalFormatting>
  <conditionalFormatting sqref="D7">
    <cfRule type="containsText" dxfId="674" priority="1205" operator="containsText" text="_oth">
      <formula>NOT(ISERROR(SEARCH("_oth",D7)))</formula>
    </cfRule>
  </conditionalFormatting>
  <conditionalFormatting sqref="A8">
    <cfRule type="expression" dxfId="673" priority="1175" stopIfTrue="1">
      <formula>$A8="comments"</formula>
    </cfRule>
  </conditionalFormatting>
  <conditionalFormatting sqref="A8">
    <cfRule type="expression" dxfId="672" priority="1171" stopIfTrue="1">
      <formula>$A8="file"</formula>
    </cfRule>
    <cfRule type="expression" dxfId="671" priority="1177" stopIfTrue="1">
      <formula>OR($A8="audio", $A8="video")</formula>
    </cfRule>
    <cfRule type="expression" dxfId="670" priority="1184" stopIfTrue="1">
      <formula>$A8="note"</formula>
    </cfRule>
    <cfRule type="expression" dxfId="669" priority="1186" stopIfTrue="1">
      <formula>$A8="barcode"</formula>
    </cfRule>
    <cfRule type="expression" dxfId="668" priority="1188" stopIfTrue="1">
      <formula>OR($A8="geopoint", $A8="geoshape", $A8="geotrace")</formula>
    </cfRule>
  </conditionalFormatting>
  <conditionalFormatting sqref="A8">
    <cfRule type="expression" dxfId="667" priority="1174" stopIfTrue="1">
      <formula>OR(AND(LEFT($A8, 14)="sensor_stream ", LEN($A8)&gt;14, NOT(ISNUMBER(SEARCH(" ", $A8, 15)))), AND(LEFT($A8, 17)="sensor_statistic ", LEN($A8)&gt;17, NOT(ISNUMBER(SEARCH(" ", $A8, 18)))))</formula>
    </cfRule>
    <cfRule type="expression" dxfId="666" priority="1189" stopIfTrue="1">
      <formula>OR($A8="audio audit", $A8="text audit", $A8="speed violations count", $A8="speed violations list", $A8="speed violations audit")</formula>
    </cfRule>
  </conditionalFormatting>
  <conditionalFormatting sqref="A8">
    <cfRule type="expression" dxfId="665" priority="1182" stopIfTrue="1">
      <formula>OR($A8="calculate", $A8="calculate_here")</formula>
    </cfRule>
  </conditionalFormatting>
  <conditionalFormatting sqref="A8">
    <cfRule type="expression" dxfId="664" priority="1173" stopIfTrue="1">
      <formula>$A8="enumerator"</formula>
    </cfRule>
    <cfRule type="expression" dxfId="663" priority="1179" stopIfTrue="1">
      <formula>$A8="image"</formula>
    </cfRule>
    <cfRule type="expression" dxfId="662" priority="1181" stopIfTrue="1">
      <formula>OR($A8="date", $A8="datetime", $A8="time")</formula>
    </cfRule>
    <cfRule type="expression" dxfId="661" priority="1192" stopIfTrue="1">
      <formula>OR(AND(LEFT($A8, 16)="select_multiple ", LEN($A8)&gt;16, NOT(ISNUMBER(SEARCH(" ", $A8, 17)))), AND(LEFT($A8, 11)="select_one ", LEN($A8)&gt;11, NOT(ISNUMBER(SEARCH(" ", $A8, 12)))))</formula>
    </cfRule>
    <cfRule type="expression" dxfId="660" priority="1194" stopIfTrue="1">
      <formula>$A8="decimal"</formula>
    </cfRule>
    <cfRule type="expression" dxfId="659" priority="1196" stopIfTrue="1">
      <formula>$A8="integer"</formula>
    </cfRule>
    <cfRule type="expression" dxfId="658" priority="1198" stopIfTrue="1">
      <formula>$A8="text"</formula>
    </cfRule>
    <cfRule type="expression" dxfId="657" priority="1204" stopIfTrue="1">
      <formula>$A8="begin group"</formula>
    </cfRule>
  </conditionalFormatting>
  <conditionalFormatting sqref="A8">
    <cfRule type="expression" dxfId="656" priority="1190" stopIfTrue="1">
      <formula>OR($A8="username", $A8="phonenumber", $A8="start", $A8="end", $A8="deviceid", $A8="subscriberid", $A8="simserial", $A8="caseid")</formula>
    </cfRule>
    <cfRule type="expression" dxfId="655" priority="1199" stopIfTrue="1">
      <formula>$A8="end repeat"</formula>
    </cfRule>
    <cfRule type="expression" dxfId="654" priority="1201" stopIfTrue="1">
      <formula>$A8="begin repeat"</formula>
    </cfRule>
    <cfRule type="expression" dxfId="653" priority="1202" stopIfTrue="1">
      <formula>$A8="end group"</formula>
    </cfRule>
  </conditionalFormatting>
  <conditionalFormatting sqref="A8">
    <cfRule type="expression" dxfId="652" priority="1203" stopIfTrue="1">
      <formula>$A8="begin group"</formula>
    </cfRule>
  </conditionalFormatting>
  <conditionalFormatting sqref="A8">
    <cfRule type="expression" dxfId="651" priority="1178" stopIfTrue="1">
      <formula>$A8="image"</formula>
    </cfRule>
    <cfRule type="expression" dxfId="650" priority="1180" stopIfTrue="1">
      <formula>OR($A8="date", $A8="datetime", $A8="time")</formula>
    </cfRule>
    <cfRule type="expression" dxfId="649" priority="1191" stopIfTrue="1">
      <formula>OR(AND(LEFT($A8, 16)="select_multiple ", LEN($A8)&gt;16, NOT(ISNUMBER(SEARCH(" ", $A8, 17)))), AND(LEFT($A8, 11)="select_one ", LEN($A8)&gt;11, NOT(ISNUMBER(SEARCH(" ", $A8, 12)))))</formula>
    </cfRule>
  </conditionalFormatting>
  <conditionalFormatting sqref="A8">
    <cfRule type="expression" dxfId="648" priority="1200" stopIfTrue="1">
      <formula>$A8="begin repeat"</formula>
    </cfRule>
  </conditionalFormatting>
  <conditionalFormatting sqref="A8">
    <cfRule type="expression" dxfId="647" priority="1170" stopIfTrue="1">
      <formula>$A8="file"</formula>
    </cfRule>
    <cfRule type="expression" dxfId="646" priority="1176" stopIfTrue="1">
      <formula>OR($A8="audio", $A8="video")</formula>
    </cfRule>
    <cfRule type="expression" dxfId="645" priority="1183" stopIfTrue="1">
      <formula>$A8="note"</formula>
    </cfRule>
    <cfRule type="expression" dxfId="644" priority="1185" stopIfTrue="1">
      <formula>$A8="barcode"</formula>
    </cfRule>
    <cfRule type="expression" dxfId="643" priority="1187" stopIfTrue="1">
      <formula>OR($A8="geopoint", $A8="geoshape", $A8="geotrace")</formula>
    </cfRule>
  </conditionalFormatting>
  <conditionalFormatting sqref="A8">
    <cfRule type="expression" dxfId="642" priority="1172" stopIfTrue="1">
      <formula>$A8="enumerator"</formula>
    </cfRule>
    <cfRule type="expression" dxfId="641" priority="1197" stopIfTrue="1">
      <formula>$A8="text"</formula>
    </cfRule>
  </conditionalFormatting>
  <conditionalFormatting sqref="A8">
    <cfRule type="expression" dxfId="640" priority="1193" stopIfTrue="1">
      <formula>$A8="decimal"</formula>
    </cfRule>
    <cfRule type="expression" dxfId="639" priority="1195" stopIfTrue="1">
      <formula>$A8="integer"</formula>
    </cfRule>
  </conditionalFormatting>
  <conditionalFormatting sqref="A8">
    <cfRule type="containsText" dxfId="638" priority="1169" operator="containsText" text="_oth">
      <formula>NOT(ISERROR(SEARCH("_oth",A8)))</formula>
    </cfRule>
  </conditionalFormatting>
  <conditionalFormatting sqref="A9">
    <cfRule type="expression" dxfId="637" priority="1067" stopIfTrue="1">
      <formula>$A9="comments"</formula>
    </cfRule>
  </conditionalFormatting>
  <conditionalFormatting sqref="A9">
    <cfRule type="expression" dxfId="636" priority="1063" stopIfTrue="1">
      <formula>$A9="file"</formula>
    </cfRule>
    <cfRule type="expression" dxfId="635" priority="1069" stopIfTrue="1">
      <formula>OR($A9="audio", $A9="video")</formula>
    </cfRule>
    <cfRule type="expression" dxfId="634" priority="1076" stopIfTrue="1">
      <formula>$A9="note"</formula>
    </cfRule>
    <cfRule type="expression" dxfId="633" priority="1078" stopIfTrue="1">
      <formula>$A9="barcode"</formula>
    </cfRule>
    <cfRule type="expression" dxfId="632" priority="1080" stopIfTrue="1">
      <formula>OR($A9="geopoint", $A9="geoshape", $A9="geotrace")</formula>
    </cfRule>
  </conditionalFormatting>
  <conditionalFormatting sqref="A9">
    <cfRule type="expression" dxfId="631" priority="1066" stopIfTrue="1">
      <formula>OR(AND(LEFT($A9, 14)="sensor_stream ", LEN($A9)&gt;14, NOT(ISNUMBER(SEARCH(" ", $A9, 15)))), AND(LEFT($A9, 17)="sensor_statistic ", LEN($A9)&gt;17, NOT(ISNUMBER(SEARCH(" ", $A9, 18)))))</formula>
    </cfRule>
    <cfRule type="expression" dxfId="630" priority="1081" stopIfTrue="1">
      <formula>OR($A9="audio audit", $A9="text audit", $A9="speed violations count", $A9="speed violations list", $A9="speed violations audit")</formula>
    </cfRule>
  </conditionalFormatting>
  <conditionalFormatting sqref="A9">
    <cfRule type="expression" dxfId="629" priority="1074" stopIfTrue="1">
      <formula>OR($A9="calculate", $A9="calculate_here")</formula>
    </cfRule>
  </conditionalFormatting>
  <conditionalFormatting sqref="A9">
    <cfRule type="expression" dxfId="628" priority="1065" stopIfTrue="1">
      <formula>$A9="enumerator"</formula>
    </cfRule>
    <cfRule type="expression" dxfId="627" priority="1071" stopIfTrue="1">
      <formula>$A9="image"</formula>
    </cfRule>
    <cfRule type="expression" dxfId="626" priority="1073" stopIfTrue="1">
      <formula>OR($A9="date", $A9="datetime", $A9="time")</formula>
    </cfRule>
    <cfRule type="expression" dxfId="625" priority="1084" stopIfTrue="1">
      <formula>OR(AND(LEFT($A9, 16)="select_multiple ", LEN($A9)&gt;16, NOT(ISNUMBER(SEARCH(" ", $A9, 17)))), AND(LEFT($A9, 11)="select_one ", LEN($A9)&gt;11, NOT(ISNUMBER(SEARCH(" ", $A9, 12)))))</formula>
    </cfRule>
    <cfRule type="expression" dxfId="624" priority="1086" stopIfTrue="1">
      <formula>$A9="decimal"</formula>
    </cfRule>
    <cfRule type="expression" dxfId="623" priority="1088" stopIfTrue="1">
      <formula>$A9="integer"</formula>
    </cfRule>
    <cfRule type="expression" dxfId="622" priority="1090" stopIfTrue="1">
      <formula>$A9="text"</formula>
    </cfRule>
    <cfRule type="expression" dxfId="621" priority="1096" stopIfTrue="1">
      <formula>$A9="begin group"</formula>
    </cfRule>
  </conditionalFormatting>
  <conditionalFormatting sqref="A9">
    <cfRule type="expression" dxfId="620" priority="1082" stopIfTrue="1">
      <formula>OR($A9="username", $A9="phonenumber", $A9="start", $A9="end", $A9="deviceid", $A9="subscriberid", $A9="simserial", $A9="caseid")</formula>
    </cfRule>
    <cfRule type="expression" dxfId="619" priority="1091" stopIfTrue="1">
      <formula>$A9="end repeat"</formula>
    </cfRule>
    <cfRule type="expression" dxfId="618" priority="1093" stopIfTrue="1">
      <formula>$A9="begin repeat"</formula>
    </cfRule>
    <cfRule type="expression" dxfId="617" priority="1094" stopIfTrue="1">
      <formula>$A9="end group"</formula>
    </cfRule>
  </conditionalFormatting>
  <conditionalFormatting sqref="A9">
    <cfRule type="expression" dxfId="616" priority="1095" stopIfTrue="1">
      <formula>$A9="begin group"</formula>
    </cfRule>
  </conditionalFormatting>
  <conditionalFormatting sqref="A9">
    <cfRule type="expression" dxfId="615" priority="1070" stopIfTrue="1">
      <formula>$A9="image"</formula>
    </cfRule>
    <cfRule type="expression" dxfId="614" priority="1072" stopIfTrue="1">
      <formula>OR($A9="date", $A9="datetime", $A9="time")</formula>
    </cfRule>
    <cfRule type="expression" dxfId="613" priority="1083" stopIfTrue="1">
      <formula>OR(AND(LEFT($A9, 16)="select_multiple ", LEN($A9)&gt;16, NOT(ISNUMBER(SEARCH(" ", $A9, 17)))), AND(LEFT($A9, 11)="select_one ", LEN($A9)&gt;11, NOT(ISNUMBER(SEARCH(" ", $A9, 12)))))</formula>
    </cfRule>
  </conditionalFormatting>
  <conditionalFormatting sqref="A9">
    <cfRule type="expression" dxfId="612" priority="1092" stopIfTrue="1">
      <formula>$A9="begin repeat"</formula>
    </cfRule>
  </conditionalFormatting>
  <conditionalFormatting sqref="A9">
    <cfRule type="expression" dxfId="611" priority="1062" stopIfTrue="1">
      <formula>$A9="file"</formula>
    </cfRule>
    <cfRule type="expression" dxfId="610" priority="1068" stopIfTrue="1">
      <formula>OR($A9="audio", $A9="video")</formula>
    </cfRule>
    <cfRule type="expression" dxfId="609" priority="1075" stopIfTrue="1">
      <formula>$A9="note"</formula>
    </cfRule>
    <cfRule type="expression" dxfId="608" priority="1077" stopIfTrue="1">
      <formula>$A9="barcode"</formula>
    </cfRule>
    <cfRule type="expression" dxfId="607" priority="1079" stopIfTrue="1">
      <formula>OR($A9="geopoint", $A9="geoshape", $A9="geotrace")</formula>
    </cfRule>
  </conditionalFormatting>
  <conditionalFormatting sqref="A9">
    <cfRule type="expression" dxfId="606" priority="1064" stopIfTrue="1">
      <formula>$A9="enumerator"</formula>
    </cfRule>
    <cfRule type="expression" dxfId="605" priority="1089" stopIfTrue="1">
      <formula>$A9="text"</formula>
    </cfRule>
  </conditionalFormatting>
  <conditionalFormatting sqref="A9">
    <cfRule type="expression" dxfId="604" priority="1085" stopIfTrue="1">
      <formula>$A9="decimal"</formula>
    </cfRule>
    <cfRule type="expression" dxfId="603" priority="1087" stopIfTrue="1">
      <formula>$A9="integer"</formula>
    </cfRule>
  </conditionalFormatting>
  <conditionalFormatting sqref="A9">
    <cfRule type="containsText" dxfId="602" priority="1061" operator="containsText" text="_oth">
      <formula>NOT(ISERROR(SEARCH("_oth",A9)))</formula>
    </cfRule>
  </conditionalFormatting>
  <conditionalFormatting sqref="A10">
    <cfRule type="expression" dxfId="601" priority="995" stopIfTrue="1">
      <formula>$A10="comments"</formula>
    </cfRule>
  </conditionalFormatting>
  <conditionalFormatting sqref="A10">
    <cfRule type="expression" dxfId="600" priority="991" stopIfTrue="1">
      <formula>$A10="file"</formula>
    </cfRule>
    <cfRule type="expression" dxfId="599" priority="997" stopIfTrue="1">
      <formula>OR($A10="audio", $A10="video")</formula>
    </cfRule>
    <cfRule type="expression" dxfId="598" priority="1004" stopIfTrue="1">
      <formula>$A10="note"</formula>
    </cfRule>
    <cfRule type="expression" dxfId="597" priority="1006" stopIfTrue="1">
      <formula>$A10="barcode"</formula>
    </cfRule>
    <cfRule type="expression" dxfId="596" priority="1008" stopIfTrue="1">
      <formula>OR($A10="geopoint", $A10="geoshape", $A10="geotrace")</formula>
    </cfRule>
  </conditionalFormatting>
  <conditionalFormatting sqref="A10">
    <cfRule type="expression" dxfId="595" priority="994" stopIfTrue="1">
      <formula>OR(AND(LEFT($A10, 14)="sensor_stream ", LEN($A10)&gt;14, NOT(ISNUMBER(SEARCH(" ", $A10, 15)))), AND(LEFT($A10, 17)="sensor_statistic ", LEN($A10)&gt;17, NOT(ISNUMBER(SEARCH(" ", $A10, 18)))))</formula>
    </cfRule>
    <cfRule type="expression" dxfId="594" priority="1009" stopIfTrue="1">
      <formula>OR($A10="audio audit", $A10="text audit", $A10="speed violations count", $A10="speed violations list", $A10="speed violations audit")</formula>
    </cfRule>
  </conditionalFormatting>
  <conditionalFormatting sqref="A10">
    <cfRule type="expression" dxfId="593" priority="1002" stopIfTrue="1">
      <formula>OR($A10="calculate", $A10="calculate_here")</formula>
    </cfRule>
  </conditionalFormatting>
  <conditionalFormatting sqref="A10">
    <cfRule type="expression" dxfId="592" priority="993" stopIfTrue="1">
      <formula>$A10="enumerator"</formula>
    </cfRule>
    <cfRule type="expression" dxfId="591" priority="999" stopIfTrue="1">
      <formula>$A10="image"</formula>
    </cfRule>
    <cfRule type="expression" dxfId="590" priority="1001" stopIfTrue="1">
      <formula>OR($A10="date", $A10="datetime", $A10="time")</formula>
    </cfRule>
    <cfRule type="expression" dxfId="589" priority="1012" stopIfTrue="1">
      <formula>OR(AND(LEFT($A10, 16)="select_multiple ", LEN($A10)&gt;16, NOT(ISNUMBER(SEARCH(" ", $A10, 17)))), AND(LEFT($A10, 11)="select_one ", LEN($A10)&gt;11, NOT(ISNUMBER(SEARCH(" ", $A10, 12)))))</formula>
    </cfRule>
    <cfRule type="expression" dxfId="588" priority="1014" stopIfTrue="1">
      <formula>$A10="decimal"</formula>
    </cfRule>
    <cfRule type="expression" dxfId="587" priority="1016" stopIfTrue="1">
      <formula>$A10="integer"</formula>
    </cfRule>
    <cfRule type="expression" dxfId="586" priority="1018" stopIfTrue="1">
      <formula>$A10="text"</formula>
    </cfRule>
    <cfRule type="expression" dxfId="585" priority="1024" stopIfTrue="1">
      <formula>$A10="begin group"</formula>
    </cfRule>
  </conditionalFormatting>
  <conditionalFormatting sqref="A10">
    <cfRule type="expression" dxfId="584" priority="1010" stopIfTrue="1">
      <formula>OR($A10="username", $A10="phonenumber", $A10="start", $A10="end", $A10="deviceid", $A10="subscriberid", $A10="simserial", $A10="caseid")</formula>
    </cfRule>
    <cfRule type="expression" dxfId="583" priority="1019" stopIfTrue="1">
      <formula>$A10="end repeat"</formula>
    </cfRule>
    <cfRule type="expression" dxfId="582" priority="1021" stopIfTrue="1">
      <formula>$A10="begin repeat"</formula>
    </cfRule>
    <cfRule type="expression" dxfId="581" priority="1022" stopIfTrue="1">
      <formula>$A10="end group"</formula>
    </cfRule>
  </conditionalFormatting>
  <conditionalFormatting sqref="A10">
    <cfRule type="expression" dxfId="580" priority="1023" stopIfTrue="1">
      <formula>$A10="begin group"</formula>
    </cfRule>
  </conditionalFormatting>
  <conditionalFormatting sqref="A10">
    <cfRule type="expression" dxfId="579" priority="998" stopIfTrue="1">
      <formula>$A10="image"</formula>
    </cfRule>
    <cfRule type="expression" dxfId="578" priority="1000" stopIfTrue="1">
      <formula>OR($A10="date", $A10="datetime", $A10="time")</formula>
    </cfRule>
    <cfRule type="expression" dxfId="577" priority="1011" stopIfTrue="1">
      <formula>OR(AND(LEFT($A10, 16)="select_multiple ", LEN($A10)&gt;16, NOT(ISNUMBER(SEARCH(" ", $A10, 17)))), AND(LEFT($A10, 11)="select_one ", LEN($A10)&gt;11, NOT(ISNUMBER(SEARCH(" ", $A10, 12)))))</formula>
    </cfRule>
  </conditionalFormatting>
  <conditionalFormatting sqref="A10">
    <cfRule type="expression" dxfId="576" priority="1020" stopIfTrue="1">
      <formula>$A10="begin repeat"</formula>
    </cfRule>
  </conditionalFormatting>
  <conditionalFormatting sqref="A10">
    <cfRule type="expression" dxfId="575" priority="990" stopIfTrue="1">
      <formula>$A10="file"</formula>
    </cfRule>
    <cfRule type="expression" dxfId="574" priority="996" stopIfTrue="1">
      <formula>OR($A10="audio", $A10="video")</formula>
    </cfRule>
    <cfRule type="expression" dxfId="573" priority="1003" stopIfTrue="1">
      <formula>$A10="note"</formula>
    </cfRule>
    <cfRule type="expression" dxfId="572" priority="1005" stopIfTrue="1">
      <formula>$A10="barcode"</formula>
    </cfRule>
    <cfRule type="expression" dxfId="571" priority="1007" stopIfTrue="1">
      <formula>OR($A10="geopoint", $A10="geoshape", $A10="geotrace")</formula>
    </cfRule>
  </conditionalFormatting>
  <conditionalFormatting sqref="A10">
    <cfRule type="expression" dxfId="570" priority="992" stopIfTrue="1">
      <formula>$A10="enumerator"</formula>
    </cfRule>
    <cfRule type="expression" dxfId="569" priority="1017" stopIfTrue="1">
      <formula>$A10="text"</formula>
    </cfRule>
  </conditionalFormatting>
  <conditionalFormatting sqref="A10">
    <cfRule type="expression" dxfId="568" priority="1013" stopIfTrue="1">
      <formula>$A10="decimal"</formula>
    </cfRule>
    <cfRule type="expression" dxfId="567" priority="1015" stopIfTrue="1">
      <formula>$A10="integer"</formula>
    </cfRule>
  </conditionalFormatting>
  <conditionalFormatting sqref="A10">
    <cfRule type="containsText" dxfId="566" priority="989" operator="containsText" text="_oth">
      <formula>NOT(ISERROR(SEARCH("_oth",A10)))</formula>
    </cfRule>
  </conditionalFormatting>
  <conditionalFormatting sqref="D10">
    <cfRule type="expression" dxfId="565" priority="932" stopIfTrue="1">
      <formula>$A10="comments"</formula>
    </cfRule>
  </conditionalFormatting>
  <conditionalFormatting sqref="D10">
    <cfRule type="expression" dxfId="564" priority="928" stopIfTrue="1">
      <formula>$A10="file"</formula>
    </cfRule>
    <cfRule type="expression" dxfId="563" priority="933" stopIfTrue="1">
      <formula>OR($A10="audio", $A10="video")</formula>
    </cfRule>
    <cfRule type="expression" dxfId="562" priority="937" stopIfTrue="1">
      <formula>$A10="note"</formula>
    </cfRule>
    <cfRule type="expression" dxfId="561" priority="938" stopIfTrue="1">
      <formula>$A10="barcode"</formula>
    </cfRule>
    <cfRule type="expression" dxfId="560" priority="939" stopIfTrue="1">
      <formula>OR($A10="geopoint", $A10="geoshape", $A10="geotrace")</formula>
    </cfRule>
  </conditionalFormatting>
  <conditionalFormatting sqref="D10">
    <cfRule type="expression" dxfId="559" priority="931" stopIfTrue="1">
      <formula>OR(AND(LEFT($A10, 14)="sensor_stream ", LEN($A10)&gt;14, NOT(ISNUMBER(SEARCH(" ", $A10, 15)))), AND(LEFT($A10, 17)="sensor_statistic ", LEN($A10)&gt;17, NOT(ISNUMBER(SEARCH(" ", $A10, 18)))))</formula>
    </cfRule>
    <cfRule type="expression" dxfId="558" priority="940" stopIfTrue="1">
      <formula>OR($A10="audio audit", $A10="text audit", $A10="speed violations count", $A10="speed violations list", $A10="speed violations audit")</formula>
    </cfRule>
  </conditionalFormatting>
  <conditionalFormatting sqref="D10">
    <cfRule type="expression" dxfId="557" priority="936" stopIfTrue="1">
      <formula>OR($A10="calculate", $A10="calculate_here")</formula>
    </cfRule>
  </conditionalFormatting>
  <conditionalFormatting sqref="D10">
    <cfRule type="expression" dxfId="556" priority="930" stopIfTrue="1">
      <formula>$A10="enumerator"</formula>
    </cfRule>
    <cfRule type="expression" dxfId="555" priority="934" stopIfTrue="1">
      <formula>$A10="image"</formula>
    </cfRule>
    <cfRule type="expression" dxfId="554" priority="935" stopIfTrue="1">
      <formula>OR($A10="date", $A10="datetime", $A10="time")</formula>
    </cfRule>
    <cfRule type="expression" dxfId="553" priority="942" stopIfTrue="1">
      <formula>OR(AND(LEFT($A10, 16)="select_multiple ", LEN($A10)&gt;16, NOT(ISNUMBER(SEARCH(" ", $A10, 17)))), AND(LEFT($A10, 11)="select_one ", LEN($A10)&gt;11, NOT(ISNUMBER(SEARCH(" ", $A10, 12)))))</formula>
    </cfRule>
    <cfRule type="expression" dxfId="552" priority="944" stopIfTrue="1">
      <formula>$A10="decimal"</formula>
    </cfRule>
    <cfRule type="expression" dxfId="551" priority="946" stopIfTrue="1">
      <formula>$A10="integer"</formula>
    </cfRule>
    <cfRule type="expression" dxfId="550" priority="948" stopIfTrue="1">
      <formula>$A10="text"</formula>
    </cfRule>
    <cfRule type="expression" dxfId="549" priority="952" stopIfTrue="1">
      <formula>$A10="begin group"</formula>
    </cfRule>
  </conditionalFormatting>
  <conditionalFormatting sqref="D10">
    <cfRule type="expression" dxfId="548" priority="941" stopIfTrue="1">
      <formula>OR($A10="username", $A10="phonenumber", $A10="start", $A10="end", $A10="deviceid", $A10="subscriberid", $A10="simserial", $A10="caseid")</formula>
    </cfRule>
    <cfRule type="expression" dxfId="547" priority="949" stopIfTrue="1">
      <formula>$A10="end repeat"</formula>
    </cfRule>
    <cfRule type="expression" dxfId="546" priority="950" stopIfTrue="1">
      <formula>$A10="begin repeat"</formula>
    </cfRule>
    <cfRule type="expression" dxfId="545" priority="951" stopIfTrue="1">
      <formula>$A10="end group"</formula>
    </cfRule>
  </conditionalFormatting>
  <conditionalFormatting sqref="D10">
    <cfRule type="expression" dxfId="544" priority="929" stopIfTrue="1">
      <formula>$A10="enumerator"</formula>
    </cfRule>
    <cfRule type="expression" dxfId="543" priority="947" stopIfTrue="1">
      <formula>$A10="text"</formula>
    </cfRule>
  </conditionalFormatting>
  <conditionalFormatting sqref="D10">
    <cfRule type="expression" dxfId="542" priority="943" stopIfTrue="1">
      <formula>$A10="decimal"</formula>
    </cfRule>
    <cfRule type="expression" dxfId="541" priority="945" stopIfTrue="1">
      <formula>$A10="integer"</formula>
    </cfRule>
  </conditionalFormatting>
  <conditionalFormatting sqref="D10">
    <cfRule type="containsText" dxfId="540" priority="927" operator="containsText" text="_oth">
      <formula>NOT(ISERROR(SEARCH("_oth",D10)))</formula>
    </cfRule>
  </conditionalFormatting>
  <conditionalFormatting sqref="A11">
    <cfRule type="expression" dxfId="539" priority="897" stopIfTrue="1">
      <formula>$A11="comments"</formula>
    </cfRule>
  </conditionalFormatting>
  <conditionalFormatting sqref="A11">
    <cfRule type="expression" dxfId="538" priority="893" stopIfTrue="1">
      <formula>$A11="file"</formula>
    </cfRule>
    <cfRule type="expression" dxfId="537" priority="899" stopIfTrue="1">
      <formula>OR($A11="audio", $A11="video")</formula>
    </cfRule>
    <cfRule type="expression" dxfId="536" priority="906" stopIfTrue="1">
      <formula>$A11="note"</formula>
    </cfRule>
    <cfRule type="expression" dxfId="535" priority="908" stopIfTrue="1">
      <formula>$A11="barcode"</formula>
    </cfRule>
    <cfRule type="expression" dxfId="534" priority="910" stopIfTrue="1">
      <formula>OR($A11="geopoint", $A11="geoshape", $A11="geotrace")</formula>
    </cfRule>
  </conditionalFormatting>
  <conditionalFormatting sqref="A11">
    <cfRule type="expression" dxfId="533" priority="896" stopIfTrue="1">
      <formula>OR(AND(LEFT($A11, 14)="sensor_stream ", LEN($A11)&gt;14, NOT(ISNUMBER(SEARCH(" ", $A11, 15)))), AND(LEFT($A11, 17)="sensor_statistic ", LEN($A11)&gt;17, NOT(ISNUMBER(SEARCH(" ", $A11, 18)))))</formula>
    </cfRule>
    <cfRule type="expression" dxfId="532" priority="911" stopIfTrue="1">
      <formula>OR($A11="audio audit", $A11="text audit", $A11="speed violations count", $A11="speed violations list", $A11="speed violations audit")</formula>
    </cfRule>
  </conditionalFormatting>
  <conditionalFormatting sqref="A11">
    <cfRule type="expression" dxfId="531" priority="904" stopIfTrue="1">
      <formula>OR($A11="calculate", $A11="calculate_here")</formula>
    </cfRule>
  </conditionalFormatting>
  <conditionalFormatting sqref="A11">
    <cfRule type="expression" dxfId="530" priority="895" stopIfTrue="1">
      <formula>$A11="enumerator"</formula>
    </cfRule>
    <cfRule type="expression" dxfId="529" priority="901" stopIfTrue="1">
      <formula>$A11="image"</formula>
    </cfRule>
    <cfRule type="expression" dxfId="528" priority="903" stopIfTrue="1">
      <formula>OR($A11="date", $A11="datetime", $A11="time")</formula>
    </cfRule>
    <cfRule type="expression" dxfId="527" priority="914" stopIfTrue="1">
      <formula>OR(AND(LEFT($A11, 16)="select_multiple ", LEN($A11)&gt;16, NOT(ISNUMBER(SEARCH(" ", $A11, 17)))), AND(LEFT($A11, 11)="select_one ", LEN($A11)&gt;11, NOT(ISNUMBER(SEARCH(" ", $A11, 12)))))</formula>
    </cfRule>
    <cfRule type="expression" dxfId="526" priority="916" stopIfTrue="1">
      <formula>$A11="decimal"</formula>
    </cfRule>
    <cfRule type="expression" dxfId="525" priority="918" stopIfTrue="1">
      <formula>$A11="integer"</formula>
    </cfRule>
    <cfRule type="expression" dxfId="524" priority="920" stopIfTrue="1">
      <formula>$A11="text"</formula>
    </cfRule>
    <cfRule type="expression" dxfId="523" priority="926" stopIfTrue="1">
      <formula>$A11="begin group"</formula>
    </cfRule>
  </conditionalFormatting>
  <conditionalFormatting sqref="A11">
    <cfRule type="expression" dxfId="522" priority="912" stopIfTrue="1">
      <formula>OR($A11="username", $A11="phonenumber", $A11="start", $A11="end", $A11="deviceid", $A11="subscriberid", $A11="simserial", $A11="caseid")</formula>
    </cfRule>
    <cfRule type="expression" dxfId="521" priority="921" stopIfTrue="1">
      <formula>$A11="end repeat"</formula>
    </cfRule>
    <cfRule type="expression" dxfId="520" priority="923" stopIfTrue="1">
      <formula>$A11="begin repeat"</formula>
    </cfRule>
    <cfRule type="expression" dxfId="519" priority="924" stopIfTrue="1">
      <formula>$A11="end group"</formula>
    </cfRule>
  </conditionalFormatting>
  <conditionalFormatting sqref="A11">
    <cfRule type="expression" dxfId="518" priority="925" stopIfTrue="1">
      <formula>$A11="begin group"</formula>
    </cfRule>
  </conditionalFormatting>
  <conditionalFormatting sqref="A11">
    <cfRule type="expression" dxfId="517" priority="900" stopIfTrue="1">
      <formula>$A11="image"</formula>
    </cfRule>
    <cfRule type="expression" dxfId="516" priority="902" stopIfTrue="1">
      <formula>OR($A11="date", $A11="datetime", $A11="time")</formula>
    </cfRule>
    <cfRule type="expression" dxfId="515" priority="913" stopIfTrue="1">
      <formula>OR(AND(LEFT($A11, 16)="select_multiple ", LEN($A11)&gt;16, NOT(ISNUMBER(SEARCH(" ", $A11, 17)))), AND(LEFT($A11, 11)="select_one ", LEN($A11)&gt;11, NOT(ISNUMBER(SEARCH(" ", $A11, 12)))))</formula>
    </cfRule>
  </conditionalFormatting>
  <conditionalFormatting sqref="A11">
    <cfRule type="expression" dxfId="514" priority="922" stopIfTrue="1">
      <formula>$A11="begin repeat"</formula>
    </cfRule>
  </conditionalFormatting>
  <conditionalFormatting sqref="A11">
    <cfRule type="expression" dxfId="513" priority="892" stopIfTrue="1">
      <formula>$A11="file"</formula>
    </cfRule>
    <cfRule type="expression" dxfId="512" priority="898" stopIfTrue="1">
      <formula>OR($A11="audio", $A11="video")</formula>
    </cfRule>
    <cfRule type="expression" dxfId="511" priority="905" stopIfTrue="1">
      <formula>$A11="note"</formula>
    </cfRule>
    <cfRule type="expression" dxfId="510" priority="907" stopIfTrue="1">
      <formula>$A11="barcode"</formula>
    </cfRule>
    <cfRule type="expression" dxfId="509" priority="909" stopIfTrue="1">
      <formula>OR($A11="geopoint", $A11="geoshape", $A11="geotrace")</formula>
    </cfRule>
  </conditionalFormatting>
  <conditionalFormatting sqref="A11">
    <cfRule type="expression" dxfId="508" priority="894" stopIfTrue="1">
      <formula>$A11="enumerator"</formula>
    </cfRule>
    <cfRule type="expression" dxfId="507" priority="919" stopIfTrue="1">
      <formula>$A11="text"</formula>
    </cfRule>
  </conditionalFormatting>
  <conditionalFormatting sqref="A11">
    <cfRule type="expression" dxfId="506" priority="915" stopIfTrue="1">
      <formula>$A11="decimal"</formula>
    </cfRule>
    <cfRule type="expression" dxfId="505" priority="917" stopIfTrue="1">
      <formula>$A11="integer"</formula>
    </cfRule>
  </conditionalFormatting>
  <conditionalFormatting sqref="A11">
    <cfRule type="containsText" dxfId="504" priority="891" operator="containsText" text="_oth">
      <formula>NOT(ISERROR(SEARCH("_oth",A11)))</formula>
    </cfRule>
  </conditionalFormatting>
  <conditionalFormatting sqref="D11:D13 D15">
    <cfRule type="expression" dxfId="503" priority="834" stopIfTrue="1">
      <formula>$A11="comments"</formula>
    </cfRule>
  </conditionalFormatting>
  <conditionalFormatting sqref="D11:D13 D15">
    <cfRule type="expression" dxfId="502" priority="830" stopIfTrue="1">
      <formula>$A11="file"</formula>
    </cfRule>
    <cfRule type="expression" dxfId="501" priority="835" stopIfTrue="1">
      <formula>OR($A11="audio", $A11="video")</formula>
    </cfRule>
    <cfRule type="expression" dxfId="500" priority="839" stopIfTrue="1">
      <formula>$A11="note"</formula>
    </cfRule>
    <cfRule type="expression" dxfId="499" priority="840" stopIfTrue="1">
      <formula>$A11="barcode"</formula>
    </cfRule>
    <cfRule type="expression" dxfId="498" priority="841" stopIfTrue="1">
      <formula>OR($A11="geopoint", $A11="geoshape", $A11="geotrace")</formula>
    </cfRule>
  </conditionalFormatting>
  <conditionalFormatting sqref="D11:D13 D15">
    <cfRule type="expression" dxfId="497" priority="833" stopIfTrue="1">
      <formula>OR(AND(LEFT($A11, 14)="sensor_stream ", LEN($A11)&gt;14, NOT(ISNUMBER(SEARCH(" ", $A11, 15)))), AND(LEFT($A11, 17)="sensor_statistic ", LEN($A11)&gt;17, NOT(ISNUMBER(SEARCH(" ", $A11, 18)))))</formula>
    </cfRule>
    <cfRule type="expression" dxfId="496" priority="842" stopIfTrue="1">
      <formula>OR($A11="audio audit", $A11="text audit", $A11="speed violations count", $A11="speed violations list", $A11="speed violations audit")</formula>
    </cfRule>
  </conditionalFormatting>
  <conditionalFormatting sqref="D11:D13 D15">
    <cfRule type="expression" dxfId="495" priority="838" stopIfTrue="1">
      <formula>OR($A11="calculate", $A11="calculate_here")</formula>
    </cfRule>
  </conditionalFormatting>
  <conditionalFormatting sqref="D11:D13 D15">
    <cfRule type="expression" dxfId="494" priority="832" stopIfTrue="1">
      <formula>$A11="enumerator"</formula>
    </cfRule>
    <cfRule type="expression" dxfId="493" priority="836" stopIfTrue="1">
      <formula>$A11="image"</formula>
    </cfRule>
    <cfRule type="expression" dxfId="492" priority="837" stopIfTrue="1">
      <formula>OR($A11="date", $A11="datetime", $A11="time")</formula>
    </cfRule>
    <cfRule type="expression" dxfId="491" priority="844" stopIfTrue="1">
      <formula>OR(AND(LEFT($A11, 16)="select_multiple ", LEN($A11)&gt;16, NOT(ISNUMBER(SEARCH(" ", $A11, 17)))), AND(LEFT($A11, 11)="select_one ", LEN($A11)&gt;11, NOT(ISNUMBER(SEARCH(" ", $A11, 12)))))</formula>
    </cfRule>
    <cfRule type="expression" dxfId="490" priority="846" stopIfTrue="1">
      <formula>$A11="decimal"</formula>
    </cfRule>
    <cfRule type="expression" dxfId="489" priority="848" stopIfTrue="1">
      <formula>$A11="integer"</formula>
    </cfRule>
    <cfRule type="expression" dxfId="488" priority="850" stopIfTrue="1">
      <formula>$A11="text"</formula>
    </cfRule>
    <cfRule type="expression" dxfId="487" priority="854" stopIfTrue="1">
      <formula>$A11="begin group"</formula>
    </cfRule>
  </conditionalFormatting>
  <conditionalFormatting sqref="D11:D13 D15">
    <cfRule type="expression" dxfId="486" priority="843" stopIfTrue="1">
      <formula>OR($A11="username", $A11="phonenumber", $A11="start", $A11="end", $A11="deviceid", $A11="subscriberid", $A11="simserial", $A11="caseid")</formula>
    </cfRule>
    <cfRule type="expression" dxfId="485" priority="851" stopIfTrue="1">
      <formula>$A11="end repeat"</formula>
    </cfRule>
    <cfRule type="expression" dxfId="484" priority="852" stopIfTrue="1">
      <formula>$A11="begin repeat"</formula>
    </cfRule>
    <cfRule type="expression" dxfId="483" priority="853" stopIfTrue="1">
      <formula>$A11="end group"</formula>
    </cfRule>
  </conditionalFormatting>
  <conditionalFormatting sqref="D11:D13 D15">
    <cfRule type="expression" dxfId="482" priority="831" stopIfTrue="1">
      <formula>$A11="enumerator"</formula>
    </cfRule>
    <cfRule type="expression" dxfId="481" priority="849" stopIfTrue="1">
      <formula>$A11="text"</formula>
    </cfRule>
  </conditionalFormatting>
  <conditionalFormatting sqref="D11:D13 D15">
    <cfRule type="expression" dxfId="480" priority="845" stopIfTrue="1">
      <formula>$A11="decimal"</formula>
    </cfRule>
    <cfRule type="expression" dxfId="479" priority="847" stopIfTrue="1">
      <formula>$A11="integer"</formula>
    </cfRule>
  </conditionalFormatting>
  <conditionalFormatting sqref="D11:D13 D15">
    <cfRule type="containsText" dxfId="478" priority="829" operator="containsText" text="_oth">
      <formula>NOT(ISERROR(SEARCH("_oth",D11)))</formula>
    </cfRule>
  </conditionalFormatting>
  <conditionalFormatting sqref="A12">
    <cfRule type="expression" dxfId="477" priority="799" stopIfTrue="1">
      <formula>$A12="comments"</formula>
    </cfRule>
  </conditionalFormatting>
  <conditionalFormatting sqref="A12">
    <cfRule type="expression" dxfId="476" priority="795" stopIfTrue="1">
      <formula>$A12="file"</formula>
    </cfRule>
    <cfRule type="expression" dxfId="475" priority="801" stopIfTrue="1">
      <formula>OR($A12="audio", $A12="video")</formula>
    </cfRule>
    <cfRule type="expression" dxfId="474" priority="808" stopIfTrue="1">
      <formula>$A12="note"</formula>
    </cfRule>
    <cfRule type="expression" dxfId="473" priority="810" stopIfTrue="1">
      <formula>$A12="barcode"</formula>
    </cfRule>
    <cfRule type="expression" dxfId="472" priority="812" stopIfTrue="1">
      <formula>OR($A12="geopoint", $A12="geoshape", $A12="geotrace")</formula>
    </cfRule>
  </conditionalFormatting>
  <conditionalFormatting sqref="A12">
    <cfRule type="expression" dxfId="471" priority="798" stopIfTrue="1">
      <formula>OR(AND(LEFT($A12, 14)="sensor_stream ", LEN($A12)&gt;14, NOT(ISNUMBER(SEARCH(" ", $A12, 15)))), AND(LEFT($A12, 17)="sensor_statistic ", LEN($A12)&gt;17, NOT(ISNUMBER(SEARCH(" ", $A12, 18)))))</formula>
    </cfRule>
    <cfRule type="expression" dxfId="470" priority="813" stopIfTrue="1">
      <formula>OR($A12="audio audit", $A12="text audit", $A12="speed violations count", $A12="speed violations list", $A12="speed violations audit")</formula>
    </cfRule>
  </conditionalFormatting>
  <conditionalFormatting sqref="A12">
    <cfRule type="expression" dxfId="469" priority="806" stopIfTrue="1">
      <formula>OR($A12="calculate", $A12="calculate_here")</formula>
    </cfRule>
  </conditionalFormatting>
  <conditionalFormatting sqref="A12">
    <cfRule type="expression" dxfId="468" priority="797" stopIfTrue="1">
      <formula>$A12="enumerator"</formula>
    </cfRule>
    <cfRule type="expression" dxfId="467" priority="803" stopIfTrue="1">
      <formula>$A12="image"</formula>
    </cfRule>
    <cfRule type="expression" dxfId="466" priority="805" stopIfTrue="1">
      <formula>OR($A12="date", $A12="datetime", $A12="time")</formula>
    </cfRule>
    <cfRule type="expression" dxfId="465" priority="816" stopIfTrue="1">
      <formula>OR(AND(LEFT($A12, 16)="select_multiple ", LEN($A12)&gt;16, NOT(ISNUMBER(SEARCH(" ", $A12, 17)))), AND(LEFT($A12, 11)="select_one ", LEN($A12)&gt;11, NOT(ISNUMBER(SEARCH(" ", $A12, 12)))))</formula>
    </cfRule>
    <cfRule type="expression" dxfId="464" priority="818" stopIfTrue="1">
      <formula>$A12="decimal"</formula>
    </cfRule>
    <cfRule type="expression" dxfId="463" priority="820" stopIfTrue="1">
      <formula>$A12="integer"</formula>
    </cfRule>
    <cfRule type="expression" dxfId="462" priority="822" stopIfTrue="1">
      <formula>$A12="text"</formula>
    </cfRule>
    <cfRule type="expression" dxfId="461" priority="828" stopIfTrue="1">
      <formula>$A12="begin group"</formula>
    </cfRule>
  </conditionalFormatting>
  <conditionalFormatting sqref="A12">
    <cfRule type="expression" dxfId="460" priority="814" stopIfTrue="1">
      <formula>OR($A12="username", $A12="phonenumber", $A12="start", $A12="end", $A12="deviceid", $A12="subscriberid", $A12="simserial", $A12="caseid")</formula>
    </cfRule>
    <cfRule type="expression" dxfId="459" priority="823" stopIfTrue="1">
      <formula>$A12="end repeat"</formula>
    </cfRule>
    <cfRule type="expression" dxfId="458" priority="825" stopIfTrue="1">
      <formula>$A12="begin repeat"</formula>
    </cfRule>
    <cfRule type="expression" dxfId="457" priority="826" stopIfTrue="1">
      <formula>$A12="end group"</formula>
    </cfRule>
  </conditionalFormatting>
  <conditionalFormatting sqref="A12">
    <cfRule type="expression" dxfId="456" priority="827" stopIfTrue="1">
      <formula>$A12="begin group"</formula>
    </cfRule>
  </conditionalFormatting>
  <conditionalFormatting sqref="A12">
    <cfRule type="expression" dxfId="455" priority="802" stopIfTrue="1">
      <formula>$A12="image"</formula>
    </cfRule>
    <cfRule type="expression" dxfId="454" priority="804" stopIfTrue="1">
      <formula>OR($A12="date", $A12="datetime", $A12="time")</formula>
    </cfRule>
    <cfRule type="expression" dxfId="453" priority="815" stopIfTrue="1">
      <formula>OR(AND(LEFT($A12, 16)="select_multiple ", LEN($A12)&gt;16, NOT(ISNUMBER(SEARCH(" ", $A12, 17)))), AND(LEFT($A12, 11)="select_one ", LEN($A12)&gt;11, NOT(ISNUMBER(SEARCH(" ", $A12, 12)))))</formula>
    </cfRule>
  </conditionalFormatting>
  <conditionalFormatting sqref="A12">
    <cfRule type="expression" dxfId="452" priority="824" stopIfTrue="1">
      <formula>$A12="begin repeat"</formula>
    </cfRule>
  </conditionalFormatting>
  <conditionalFormatting sqref="A12">
    <cfRule type="expression" dxfId="451" priority="794" stopIfTrue="1">
      <formula>$A12="file"</formula>
    </cfRule>
    <cfRule type="expression" dxfId="450" priority="800" stopIfTrue="1">
      <formula>OR($A12="audio", $A12="video")</formula>
    </cfRule>
    <cfRule type="expression" dxfId="449" priority="807" stopIfTrue="1">
      <formula>$A12="note"</formula>
    </cfRule>
    <cfRule type="expression" dxfId="448" priority="809" stopIfTrue="1">
      <formula>$A12="barcode"</formula>
    </cfRule>
    <cfRule type="expression" dxfId="447" priority="811" stopIfTrue="1">
      <formula>OR($A12="geopoint", $A12="geoshape", $A12="geotrace")</formula>
    </cfRule>
  </conditionalFormatting>
  <conditionalFormatting sqref="A12">
    <cfRule type="expression" dxfId="446" priority="796" stopIfTrue="1">
      <formula>$A12="enumerator"</formula>
    </cfRule>
    <cfRule type="expression" dxfId="445" priority="821" stopIfTrue="1">
      <formula>$A12="text"</formula>
    </cfRule>
  </conditionalFormatting>
  <conditionalFormatting sqref="A12">
    <cfRule type="expression" dxfId="444" priority="817" stopIfTrue="1">
      <formula>$A12="decimal"</formula>
    </cfRule>
    <cfRule type="expression" dxfId="443" priority="819" stopIfTrue="1">
      <formula>$A12="integer"</formula>
    </cfRule>
  </conditionalFormatting>
  <conditionalFormatting sqref="A12">
    <cfRule type="containsText" dxfId="442" priority="793" operator="containsText" text="_oth">
      <formula>NOT(ISERROR(SEARCH("_oth",A12)))</formula>
    </cfRule>
  </conditionalFormatting>
  <conditionalFormatting sqref="A13">
    <cfRule type="expression" dxfId="441" priority="727" stopIfTrue="1">
      <formula>$A13="comments"</formula>
    </cfRule>
  </conditionalFormatting>
  <conditionalFormatting sqref="A13">
    <cfRule type="expression" dxfId="440" priority="723" stopIfTrue="1">
      <formula>$A13="file"</formula>
    </cfRule>
    <cfRule type="expression" dxfId="439" priority="729" stopIfTrue="1">
      <formula>OR($A13="audio", $A13="video")</formula>
    </cfRule>
    <cfRule type="expression" dxfId="438" priority="736" stopIfTrue="1">
      <formula>$A13="note"</formula>
    </cfRule>
    <cfRule type="expression" dxfId="437" priority="738" stopIfTrue="1">
      <formula>$A13="barcode"</formula>
    </cfRule>
    <cfRule type="expression" dxfId="436" priority="740" stopIfTrue="1">
      <formula>OR($A13="geopoint", $A13="geoshape", $A13="geotrace")</formula>
    </cfRule>
  </conditionalFormatting>
  <conditionalFormatting sqref="A13">
    <cfRule type="expression" dxfId="435" priority="726" stopIfTrue="1">
      <formula>OR(AND(LEFT($A13, 14)="sensor_stream ", LEN($A13)&gt;14, NOT(ISNUMBER(SEARCH(" ", $A13, 15)))), AND(LEFT($A13, 17)="sensor_statistic ", LEN($A13)&gt;17, NOT(ISNUMBER(SEARCH(" ", $A13, 18)))))</formula>
    </cfRule>
    <cfRule type="expression" dxfId="434" priority="741" stopIfTrue="1">
      <formula>OR($A13="audio audit", $A13="text audit", $A13="speed violations count", $A13="speed violations list", $A13="speed violations audit")</formula>
    </cfRule>
  </conditionalFormatting>
  <conditionalFormatting sqref="A13">
    <cfRule type="expression" dxfId="433" priority="734" stopIfTrue="1">
      <formula>OR($A13="calculate", $A13="calculate_here")</formula>
    </cfRule>
  </conditionalFormatting>
  <conditionalFormatting sqref="A13">
    <cfRule type="expression" dxfId="432" priority="725" stopIfTrue="1">
      <formula>$A13="enumerator"</formula>
    </cfRule>
    <cfRule type="expression" dxfId="431" priority="731" stopIfTrue="1">
      <formula>$A13="image"</formula>
    </cfRule>
    <cfRule type="expression" dxfId="430" priority="733" stopIfTrue="1">
      <formula>OR($A13="date", $A13="datetime", $A13="time")</formula>
    </cfRule>
    <cfRule type="expression" dxfId="429" priority="744" stopIfTrue="1">
      <formula>OR(AND(LEFT($A13, 16)="select_multiple ", LEN($A13)&gt;16, NOT(ISNUMBER(SEARCH(" ", $A13, 17)))), AND(LEFT($A13, 11)="select_one ", LEN($A13)&gt;11, NOT(ISNUMBER(SEARCH(" ", $A13, 12)))))</formula>
    </cfRule>
    <cfRule type="expression" dxfId="428" priority="746" stopIfTrue="1">
      <formula>$A13="decimal"</formula>
    </cfRule>
    <cfRule type="expression" dxfId="427" priority="748" stopIfTrue="1">
      <formula>$A13="integer"</formula>
    </cfRule>
    <cfRule type="expression" dxfId="426" priority="750" stopIfTrue="1">
      <formula>$A13="text"</formula>
    </cfRule>
    <cfRule type="expression" dxfId="425" priority="756" stopIfTrue="1">
      <formula>$A13="begin group"</formula>
    </cfRule>
  </conditionalFormatting>
  <conditionalFormatting sqref="A13">
    <cfRule type="expression" dxfId="424" priority="742" stopIfTrue="1">
      <formula>OR($A13="username", $A13="phonenumber", $A13="start", $A13="end", $A13="deviceid", $A13="subscriberid", $A13="simserial", $A13="caseid")</formula>
    </cfRule>
    <cfRule type="expression" dxfId="423" priority="751" stopIfTrue="1">
      <formula>$A13="end repeat"</formula>
    </cfRule>
    <cfRule type="expression" dxfId="422" priority="753" stopIfTrue="1">
      <formula>$A13="begin repeat"</formula>
    </cfRule>
    <cfRule type="expression" dxfId="421" priority="754" stopIfTrue="1">
      <formula>$A13="end group"</formula>
    </cfRule>
  </conditionalFormatting>
  <conditionalFormatting sqref="A13">
    <cfRule type="expression" dxfId="420" priority="755" stopIfTrue="1">
      <formula>$A13="begin group"</formula>
    </cfRule>
  </conditionalFormatting>
  <conditionalFormatting sqref="A13">
    <cfRule type="expression" dxfId="419" priority="730" stopIfTrue="1">
      <formula>$A13="image"</formula>
    </cfRule>
    <cfRule type="expression" dxfId="418" priority="732" stopIfTrue="1">
      <formula>OR($A13="date", $A13="datetime", $A13="time")</formula>
    </cfRule>
    <cfRule type="expression" dxfId="417" priority="743" stopIfTrue="1">
      <formula>OR(AND(LEFT($A13, 16)="select_multiple ", LEN($A13)&gt;16, NOT(ISNUMBER(SEARCH(" ", $A13, 17)))), AND(LEFT($A13, 11)="select_one ", LEN($A13)&gt;11, NOT(ISNUMBER(SEARCH(" ", $A13, 12)))))</formula>
    </cfRule>
  </conditionalFormatting>
  <conditionalFormatting sqref="A13">
    <cfRule type="expression" dxfId="416" priority="752" stopIfTrue="1">
      <formula>$A13="begin repeat"</formula>
    </cfRule>
  </conditionalFormatting>
  <conditionalFormatting sqref="A13">
    <cfRule type="expression" dxfId="415" priority="722" stopIfTrue="1">
      <formula>$A13="file"</formula>
    </cfRule>
    <cfRule type="expression" dxfId="414" priority="728" stopIfTrue="1">
      <formula>OR($A13="audio", $A13="video")</formula>
    </cfRule>
    <cfRule type="expression" dxfId="413" priority="735" stopIfTrue="1">
      <formula>$A13="note"</formula>
    </cfRule>
    <cfRule type="expression" dxfId="412" priority="737" stopIfTrue="1">
      <formula>$A13="barcode"</formula>
    </cfRule>
    <cfRule type="expression" dxfId="411" priority="739" stopIfTrue="1">
      <formula>OR($A13="geopoint", $A13="geoshape", $A13="geotrace")</formula>
    </cfRule>
  </conditionalFormatting>
  <conditionalFormatting sqref="A13">
    <cfRule type="expression" dxfId="410" priority="724" stopIfTrue="1">
      <formula>$A13="enumerator"</formula>
    </cfRule>
    <cfRule type="expression" dxfId="409" priority="749" stopIfTrue="1">
      <formula>$A13="text"</formula>
    </cfRule>
  </conditionalFormatting>
  <conditionalFormatting sqref="A13">
    <cfRule type="expression" dxfId="408" priority="745" stopIfTrue="1">
      <formula>$A13="decimal"</formula>
    </cfRule>
    <cfRule type="expression" dxfId="407" priority="747" stopIfTrue="1">
      <formula>$A13="integer"</formula>
    </cfRule>
  </conditionalFormatting>
  <conditionalFormatting sqref="A13">
    <cfRule type="containsText" dxfId="406" priority="721" operator="containsText" text="_oth">
      <formula>NOT(ISERROR(SEARCH("_oth",A13)))</formula>
    </cfRule>
  </conditionalFormatting>
  <conditionalFormatting sqref="A17">
    <cfRule type="expression" dxfId="405" priority="655" stopIfTrue="1">
      <formula>$A17="comments"</formula>
    </cfRule>
  </conditionalFormatting>
  <conditionalFormatting sqref="A17">
    <cfRule type="expression" dxfId="404" priority="651" stopIfTrue="1">
      <formula>$A17="file"</formula>
    </cfRule>
    <cfRule type="expression" dxfId="403" priority="657" stopIfTrue="1">
      <formula>OR($A17="audio", $A17="video")</formula>
    </cfRule>
    <cfRule type="expression" dxfId="402" priority="664" stopIfTrue="1">
      <formula>$A17="note"</formula>
    </cfRule>
    <cfRule type="expression" dxfId="401" priority="666" stopIfTrue="1">
      <formula>$A17="barcode"</formula>
    </cfRule>
    <cfRule type="expression" dxfId="400" priority="668" stopIfTrue="1">
      <formula>OR($A17="geopoint", $A17="geoshape", $A17="geotrace")</formula>
    </cfRule>
  </conditionalFormatting>
  <conditionalFormatting sqref="A17">
    <cfRule type="expression" dxfId="399" priority="654" stopIfTrue="1">
      <formula>OR(AND(LEFT($A17, 14)="sensor_stream ", LEN($A17)&gt;14, NOT(ISNUMBER(SEARCH(" ", $A17, 15)))), AND(LEFT($A17, 17)="sensor_statistic ", LEN($A17)&gt;17, NOT(ISNUMBER(SEARCH(" ", $A17, 18)))))</formula>
    </cfRule>
    <cfRule type="expression" dxfId="398" priority="669" stopIfTrue="1">
      <formula>OR($A17="audio audit", $A17="text audit", $A17="speed violations count", $A17="speed violations list", $A17="speed violations audit")</formula>
    </cfRule>
  </conditionalFormatting>
  <conditionalFormatting sqref="A17">
    <cfRule type="expression" dxfId="397" priority="662" stopIfTrue="1">
      <formula>OR($A17="calculate", $A17="calculate_here")</formula>
    </cfRule>
  </conditionalFormatting>
  <conditionalFormatting sqref="A17">
    <cfRule type="expression" dxfId="396" priority="653" stopIfTrue="1">
      <formula>$A17="enumerator"</formula>
    </cfRule>
    <cfRule type="expression" dxfId="395" priority="659" stopIfTrue="1">
      <formula>$A17="image"</formula>
    </cfRule>
    <cfRule type="expression" dxfId="394" priority="661" stopIfTrue="1">
      <formula>OR($A17="date", $A17="datetime", $A17="time")</formula>
    </cfRule>
    <cfRule type="expression" dxfId="393" priority="672" stopIfTrue="1">
      <formula>OR(AND(LEFT($A17, 16)="select_multiple ", LEN($A17)&gt;16, NOT(ISNUMBER(SEARCH(" ", $A17, 17)))), AND(LEFT($A17, 11)="select_one ", LEN($A17)&gt;11, NOT(ISNUMBER(SEARCH(" ", $A17, 12)))))</formula>
    </cfRule>
    <cfRule type="expression" dxfId="392" priority="674" stopIfTrue="1">
      <formula>$A17="decimal"</formula>
    </cfRule>
    <cfRule type="expression" dxfId="391" priority="676" stopIfTrue="1">
      <formula>$A17="integer"</formula>
    </cfRule>
    <cfRule type="expression" dxfId="390" priority="678" stopIfTrue="1">
      <formula>$A17="text"</formula>
    </cfRule>
    <cfRule type="expression" dxfId="389" priority="684" stopIfTrue="1">
      <formula>$A17="begin group"</formula>
    </cfRule>
  </conditionalFormatting>
  <conditionalFormatting sqref="A17">
    <cfRule type="expression" dxfId="388" priority="670" stopIfTrue="1">
      <formula>OR($A17="username", $A17="phonenumber", $A17="start", $A17="end", $A17="deviceid", $A17="subscriberid", $A17="simserial", $A17="caseid")</formula>
    </cfRule>
    <cfRule type="expression" dxfId="387" priority="679" stopIfTrue="1">
      <formula>$A17="end repeat"</formula>
    </cfRule>
    <cfRule type="expression" dxfId="386" priority="681" stopIfTrue="1">
      <formula>$A17="begin repeat"</formula>
    </cfRule>
    <cfRule type="expression" dxfId="385" priority="682" stopIfTrue="1">
      <formula>$A17="end group"</formula>
    </cfRule>
  </conditionalFormatting>
  <conditionalFormatting sqref="A17">
    <cfRule type="expression" dxfId="384" priority="683" stopIfTrue="1">
      <formula>$A17="begin group"</formula>
    </cfRule>
  </conditionalFormatting>
  <conditionalFormatting sqref="A17">
    <cfRule type="expression" dxfId="383" priority="658" stopIfTrue="1">
      <formula>$A17="image"</formula>
    </cfRule>
    <cfRule type="expression" dxfId="382" priority="660" stopIfTrue="1">
      <formula>OR($A17="date", $A17="datetime", $A17="time")</formula>
    </cfRule>
    <cfRule type="expression" dxfId="381" priority="671" stopIfTrue="1">
      <formula>OR(AND(LEFT($A17, 16)="select_multiple ", LEN($A17)&gt;16, NOT(ISNUMBER(SEARCH(" ", $A17, 17)))), AND(LEFT($A17, 11)="select_one ", LEN($A17)&gt;11, NOT(ISNUMBER(SEARCH(" ", $A17, 12)))))</formula>
    </cfRule>
  </conditionalFormatting>
  <conditionalFormatting sqref="A17">
    <cfRule type="expression" dxfId="380" priority="680" stopIfTrue="1">
      <formula>$A17="begin repeat"</formula>
    </cfRule>
  </conditionalFormatting>
  <conditionalFormatting sqref="A17">
    <cfRule type="expression" dxfId="379" priority="650" stopIfTrue="1">
      <formula>$A17="file"</formula>
    </cfRule>
    <cfRule type="expression" dxfId="378" priority="656" stopIfTrue="1">
      <formula>OR($A17="audio", $A17="video")</formula>
    </cfRule>
    <cfRule type="expression" dxfId="377" priority="663" stopIfTrue="1">
      <formula>$A17="note"</formula>
    </cfRule>
    <cfRule type="expression" dxfId="376" priority="665" stopIfTrue="1">
      <formula>$A17="barcode"</formula>
    </cfRule>
    <cfRule type="expression" dxfId="375" priority="667" stopIfTrue="1">
      <formula>OR($A17="geopoint", $A17="geoshape", $A17="geotrace")</formula>
    </cfRule>
  </conditionalFormatting>
  <conditionalFormatting sqref="A17">
    <cfRule type="expression" dxfId="374" priority="652" stopIfTrue="1">
      <formula>$A17="enumerator"</formula>
    </cfRule>
    <cfRule type="expression" dxfId="373" priority="677" stopIfTrue="1">
      <formula>$A17="text"</formula>
    </cfRule>
  </conditionalFormatting>
  <conditionalFormatting sqref="A17">
    <cfRule type="expression" dxfId="372" priority="673" stopIfTrue="1">
      <formula>$A17="decimal"</formula>
    </cfRule>
    <cfRule type="expression" dxfId="371" priority="675" stopIfTrue="1">
      <formula>$A17="integer"</formula>
    </cfRule>
  </conditionalFormatting>
  <conditionalFormatting sqref="A17">
    <cfRule type="containsText" dxfId="370" priority="649" operator="containsText" text="_oth">
      <formula>NOT(ISERROR(SEARCH("_oth",A17)))</formula>
    </cfRule>
  </conditionalFormatting>
  <conditionalFormatting sqref="D17">
    <cfRule type="expression" dxfId="369" priority="592" stopIfTrue="1">
      <formula>$A17="comments"</formula>
    </cfRule>
  </conditionalFormatting>
  <conditionalFormatting sqref="D17">
    <cfRule type="expression" dxfId="368" priority="588" stopIfTrue="1">
      <formula>$A17="file"</formula>
    </cfRule>
    <cfRule type="expression" dxfId="367" priority="593" stopIfTrue="1">
      <formula>OR($A17="audio", $A17="video")</formula>
    </cfRule>
    <cfRule type="expression" dxfId="366" priority="597" stopIfTrue="1">
      <formula>$A17="note"</formula>
    </cfRule>
    <cfRule type="expression" dxfId="365" priority="598" stopIfTrue="1">
      <formula>$A17="barcode"</formula>
    </cfRule>
    <cfRule type="expression" dxfId="364" priority="599" stopIfTrue="1">
      <formula>OR($A17="geopoint", $A17="geoshape", $A17="geotrace")</formula>
    </cfRule>
  </conditionalFormatting>
  <conditionalFormatting sqref="D17">
    <cfRule type="expression" dxfId="363" priority="591" stopIfTrue="1">
      <formula>OR(AND(LEFT($A17, 14)="sensor_stream ", LEN($A17)&gt;14, NOT(ISNUMBER(SEARCH(" ", $A17, 15)))), AND(LEFT($A17, 17)="sensor_statistic ", LEN($A17)&gt;17, NOT(ISNUMBER(SEARCH(" ", $A17, 18)))))</formula>
    </cfRule>
    <cfRule type="expression" dxfId="362" priority="600" stopIfTrue="1">
      <formula>OR($A17="audio audit", $A17="text audit", $A17="speed violations count", $A17="speed violations list", $A17="speed violations audit")</formula>
    </cfRule>
  </conditionalFormatting>
  <conditionalFormatting sqref="D17">
    <cfRule type="expression" dxfId="361" priority="596" stopIfTrue="1">
      <formula>OR($A17="calculate", $A17="calculate_here")</formula>
    </cfRule>
  </conditionalFormatting>
  <conditionalFormatting sqref="D17">
    <cfRule type="expression" dxfId="360" priority="590" stopIfTrue="1">
      <formula>$A17="enumerator"</formula>
    </cfRule>
    <cfRule type="expression" dxfId="359" priority="594" stopIfTrue="1">
      <formula>$A17="image"</formula>
    </cfRule>
    <cfRule type="expression" dxfId="358" priority="595" stopIfTrue="1">
      <formula>OR($A17="date", $A17="datetime", $A17="time")</formula>
    </cfRule>
    <cfRule type="expression" dxfId="357" priority="602" stopIfTrue="1">
      <formula>OR(AND(LEFT($A17, 16)="select_multiple ", LEN($A17)&gt;16, NOT(ISNUMBER(SEARCH(" ", $A17, 17)))), AND(LEFT($A17, 11)="select_one ", LEN($A17)&gt;11, NOT(ISNUMBER(SEARCH(" ", $A17, 12)))))</formula>
    </cfRule>
    <cfRule type="expression" dxfId="356" priority="604" stopIfTrue="1">
      <formula>$A17="decimal"</formula>
    </cfRule>
    <cfRule type="expression" dxfId="355" priority="606" stopIfTrue="1">
      <formula>$A17="integer"</formula>
    </cfRule>
    <cfRule type="expression" dxfId="354" priority="608" stopIfTrue="1">
      <formula>$A17="text"</formula>
    </cfRule>
    <cfRule type="expression" dxfId="353" priority="612" stopIfTrue="1">
      <formula>$A17="begin group"</formula>
    </cfRule>
  </conditionalFormatting>
  <conditionalFormatting sqref="D17">
    <cfRule type="expression" dxfId="352" priority="601" stopIfTrue="1">
      <formula>OR($A17="username", $A17="phonenumber", $A17="start", $A17="end", $A17="deviceid", $A17="subscriberid", $A17="simserial", $A17="caseid")</formula>
    </cfRule>
    <cfRule type="expression" dxfId="351" priority="609" stopIfTrue="1">
      <formula>$A17="end repeat"</formula>
    </cfRule>
    <cfRule type="expression" dxfId="350" priority="610" stopIfTrue="1">
      <formula>$A17="begin repeat"</formula>
    </cfRule>
    <cfRule type="expression" dxfId="349" priority="611" stopIfTrue="1">
      <formula>$A17="end group"</formula>
    </cfRule>
  </conditionalFormatting>
  <conditionalFormatting sqref="D17">
    <cfRule type="expression" dxfId="348" priority="589" stopIfTrue="1">
      <formula>$A17="enumerator"</formula>
    </cfRule>
    <cfRule type="expression" dxfId="347" priority="607" stopIfTrue="1">
      <formula>$A17="text"</formula>
    </cfRule>
  </conditionalFormatting>
  <conditionalFormatting sqref="D17">
    <cfRule type="expression" dxfId="346" priority="603" stopIfTrue="1">
      <formula>$A17="decimal"</formula>
    </cfRule>
    <cfRule type="expression" dxfId="345" priority="605" stopIfTrue="1">
      <formula>$A17="integer"</formula>
    </cfRule>
  </conditionalFormatting>
  <conditionalFormatting sqref="D17">
    <cfRule type="containsText" dxfId="344" priority="587" operator="containsText" text="_oth">
      <formula>NOT(ISERROR(SEARCH("_oth",D17)))</formula>
    </cfRule>
  </conditionalFormatting>
  <conditionalFormatting sqref="A14:B14 D14 H14:XFD14 F14">
    <cfRule type="expression" dxfId="343" priority="557" stopIfTrue="1">
      <formula>$A14="comments"</formula>
    </cfRule>
  </conditionalFormatting>
  <conditionalFormatting sqref="A14:B14 D14 H14:XFD14 F14">
    <cfRule type="expression" dxfId="342" priority="553" stopIfTrue="1">
      <formula>$A14="file"</formula>
    </cfRule>
    <cfRule type="expression" dxfId="341" priority="559" stopIfTrue="1">
      <formula>OR($A14="audio", $A14="video")</formula>
    </cfRule>
    <cfRule type="expression" dxfId="340" priority="566" stopIfTrue="1">
      <formula>$A14="note"</formula>
    </cfRule>
    <cfRule type="expression" dxfId="339" priority="568" stopIfTrue="1">
      <formula>$A14="barcode"</formula>
    </cfRule>
    <cfRule type="expression" dxfId="338" priority="570" stopIfTrue="1">
      <formula>OR($A14="geopoint", $A14="geoshape", $A14="geotrace")</formula>
    </cfRule>
  </conditionalFormatting>
  <conditionalFormatting sqref="A14:B14 D14 H14:XFD14 F14">
    <cfRule type="expression" dxfId="337" priority="556" stopIfTrue="1">
      <formula>OR(AND(LEFT($A14, 14)="sensor_stream ", LEN($A14)&gt;14, NOT(ISNUMBER(SEARCH(" ", $A14, 15)))), AND(LEFT($A14, 17)="sensor_statistic ", LEN($A14)&gt;17, NOT(ISNUMBER(SEARCH(" ", $A14, 18)))))</formula>
    </cfRule>
    <cfRule type="expression" dxfId="336" priority="571" stopIfTrue="1">
      <formula>OR($A14="audio audit", $A14="text audit", $A14="speed violations count", $A14="speed violations list", $A14="speed violations audit")</formula>
    </cfRule>
  </conditionalFormatting>
  <conditionalFormatting sqref="A14:B14 D14 H14:XFD14 F14">
    <cfRule type="expression" dxfId="335" priority="564" stopIfTrue="1">
      <formula>OR($A14="calculate", $A14="calculate_here")</formula>
    </cfRule>
  </conditionalFormatting>
  <conditionalFormatting sqref="A14:B14 D14 H14:XFD14 F14">
    <cfRule type="expression" dxfId="334" priority="555" stopIfTrue="1">
      <formula>$A14="enumerator"</formula>
    </cfRule>
    <cfRule type="expression" dxfId="333" priority="561" stopIfTrue="1">
      <formula>$A14="image"</formula>
    </cfRule>
    <cfRule type="expression" dxfId="332" priority="563" stopIfTrue="1">
      <formula>OR($A14="date", $A14="datetime", $A14="time")</formula>
    </cfRule>
    <cfRule type="expression" dxfId="331" priority="574" stopIfTrue="1">
      <formula>OR(AND(LEFT($A14, 16)="select_multiple ", LEN($A14)&gt;16, NOT(ISNUMBER(SEARCH(" ", $A14, 17)))), AND(LEFT($A14, 11)="select_one ", LEN($A14)&gt;11, NOT(ISNUMBER(SEARCH(" ", $A14, 12)))))</formula>
    </cfRule>
    <cfRule type="expression" dxfId="330" priority="576" stopIfTrue="1">
      <formula>$A14="decimal"</formula>
    </cfRule>
    <cfRule type="expression" dxfId="329" priority="578" stopIfTrue="1">
      <formula>$A14="integer"</formula>
    </cfRule>
    <cfRule type="expression" dxfId="328" priority="580" stopIfTrue="1">
      <formula>$A14="text"</formula>
    </cfRule>
    <cfRule type="expression" dxfId="327" priority="586" stopIfTrue="1">
      <formula>$A14="begin group"</formula>
    </cfRule>
  </conditionalFormatting>
  <conditionalFormatting sqref="A14:B14 D14 H14:XFD14 F14">
    <cfRule type="expression" dxfId="326" priority="572" stopIfTrue="1">
      <formula>OR($A14="username", $A14="phonenumber", $A14="start", $A14="end", $A14="deviceid", $A14="subscriberid", $A14="simserial", $A14="caseid")</formula>
    </cfRule>
    <cfRule type="expression" dxfId="325" priority="581" stopIfTrue="1">
      <formula>$A14="end repeat"</formula>
    </cfRule>
    <cfRule type="expression" dxfId="324" priority="583" stopIfTrue="1">
      <formula>$A14="begin repeat"</formula>
    </cfRule>
    <cfRule type="expression" dxfId="323" priority="584" stopIfTrue="1">
      <formula>$A14="end group"</formula>
    </cfRule>
  </conditionalFormatting>
  <conditionalFormatting sqref="A14:B14 D14 H14:XFD14 F14">
    <cfRule type="expression" dxfId="322" priority="585" stopIfTrue="1">
      <formula>$A14="begin group"</formula>
    </cfRule>
  </conditionalFormatting>
  <conditionalFormatting sqref="A14:B14 D14 H14:XFD14 F14">
    <cfRule type="expression" dxfId="321" priority="560" stopIfTrue="1">
      <formula>$A14="image"</formula>
    </cfRule>
    <cfRule type="expression" dxfId="320" priority="562" stopIfTrue="1">
      <formula>OR($A14="date", $A14="datetime", $A14="time")</formula>
    </cfRule>
    <cfRule type="expression" dxfId="319" priority="573" stopIfTrue="1">
      <formula>OR(AND(LEFT($A14, 16)="select_multiple ", LEN($A14)&gt;16, NOT(ISNUMBER(SEARCH(" ", $A14, 17)))), AND(LEFT($A14, 11)="select_one ", LEN($A14)&gt;11, NOT(ISNUMBER(SEARCH(" ", $A14, 12)))))</formula>
    </cfRule>
  </conditionalFormatting>
  <conditionalFormatting sqref="A14:B14 D14 H14:XFD14 F14">
    <cfRule type="expression" dxfId="318" priority="582" stopIfTrue="1">
      <formula>$A14="begin repeat"</formula>
    </cfRule>
  </conditionalFormatting>
  <conditionalFormatting sqref="A14:B14 D14 H14:XFD14 F14">
    <cfRule type="expression" dxfId="317" priority="552" stopIfTrue="1">
      <formula>$A14="file"</formula>
    </cfRule>
    <cfRule type="expression" dxfId="316" priority="558" stopIfTrue="1">
      <formula>OR($A14="audio", $A14="video")</formula>
    </cfRule>
    <cfRule type="expression" dxfId="315" priority="565" stopIfTrue="1">
      <formula>$A14="note"</formula>
    </cfRule>
    <cfRule type="expression" dxfId="314" priority="567" stopIfTrue="1">
      <formula>$A14="barcode"</formula>
    </cfRule>
    <cfRule type="expression" dxfId="313" priority="569" stopIfTrue="1">
      <formula>OR($A14="geopoint", $A14="geoshape", $A14="geotrace")</formula>
    </cfRule>
  </conditionalFormatting>
  <conditionalFormatting sqref="A14:B14 D14 H14:XFD14 F14">
    <cfRule type="expression" dxfId="312" priority="554" stopIfTrue="1">
      <formula>$A14="enumerator"</formula>
    </cfRule>
    <cfRule type="expression" dxfId="311" priority="579" stopIfTrue="1">
      <formula>$A14="text"</formula>
    </cfRule>
  </conditionalFormatting>
  <conditionalFormatting sqref="A14:B14 D14 H14:XFD14 F14">
    <cfRule type="expression" dxfId="310" priority="575" stopIfTrue="1">
      <formula>$A14="decimal"</formula>
    </cfRule>
    <cfRule type="expression" dxfId="309" priority="577" stopIfTrue="1">
      <formula>$A14="integer"</formula>
    </cfRule>
  </conditionalFormatting>
  <conditionalFormatting sqref="A14:B14 D14 H14:XFD14 F14">
    <cfRule type="containsText" dxfId="308" priority="551" operator="containsText" text="_oth">
      <formula>NOT(ISERROR(SEARCH("_oth",A14)))</formula>
    </cfRule>
  </conditionalFormatting>
  <conditionalFormatting sqref="A15">
    <cfRule type="expression" dxfId="307" priority="521" stopIfTrue="1">
      <formula>$A15="comments"</formula>
    </cfRule>
  </conditionalFormatting>
  <conditionalFormatting sqref="A15">
    <cfRule type="expression" dxfId="306" priority="517" stopIfTrue="1">
      <formula>$A15="file"</formula>
    </cfRule>
    <cfRule type="expression" dxfId="305" priority="523" stopIfTrue="1">
      <formula>OR($A15="audio", $A15="video")</formula>
    </cfRule>
    <cfRule type="expression" dxfId="304" priority="530" stopIfTrue="1">
      <formula>$A15="note"</formula>
    </cfRule>
    <cfRule type="expression" dxfId="303" priority="532" stopIfTrue="1">
      <formula>$A15="barcode"</formula>
    </cfRule>
    <cfRule type="expression" dxfId="302" priority="534" stopIfTrue="1">
      <formula>OR($A15="geopoint", $A15="geoshape", $A15="geotrace")</formula>
    </cfRule>
  </conditionalFormatting>
  <conditionalFormatting sqref="A15">
    <cfRule type="expression" dxfId="301" priority="520" stopIfTrue="1">
      <formula>OR(AND(LEFT($A15, 14)="sensor_stream ", LEN($A15)&gt;14, NOT(ISNUMBER(SEARCH(" ", $A15, 15)))), AND(LEFT($A15, 17)="sensor_statistic ", LEN($A15)&gt;17, NOT(ISNUMBER(SEARCH(" ", $A15, 18)))))</formula>
    </cfRule>
    <cfRule type="expression" dxfId="300" priority="535" stopIfTrue="1">
      <formula>OR($A15="audio audit", $A15="text audit", $A15="speed violations count", $A15="speed violations list", $A15="speed violations audit")</formula>
    </cfRule>
  </conditionalFormatting>
  <conditionalFormatting sqref="A15">
    <cfRule type="expression" dxfId="299" priority="528" stopIfTrue="1">
      <formula>OR($A15="calculate", $A15="calculate_here")</formula>
    </cfRule>
  </conditionalFormatting>
  <conditionalFormatting sqref="A15">
    <cfRule type="expression" dxfId="298" priority="519" stopIfTrue="1">
      <formula>$A15="enumerator"</formula>
    </cfRule>
    <cfRule type="expression" dxfId="297" priority="525" stopIfTrue="1">
      <formula>$A15="image"</formula>
    </cfRule>
    <cfRule type="expression" dxfId="296" priority="527" stopIfTrue="1">
      <formula>OR($A15="date", $A15="datetime", $A15="time")</formula>
    </cfRule>
    <cfRule type="expression" dxfId="295" priority="538" stopIfTrue="1">
      <formula>OR(AND(LEFT($A15, 16)="select_multiple ", LEN($A15)&gt;16, NOT(ISNUMBER(SEARCH(" ", $A15, 17)))), AND(LEFT($A15, 11)="select_one ", LEN($A15)&gt;11, NOT(ISNUMBER(SEARCH(" ", $A15, 12)))))</formula>
    </cfRule>
    <cfRule type="expression" dxfId="294" priority="540" stopIfTrue="1">
      <formula>$A15="decimal"</formula>
    </cfRule>
    <cfRule type="expression" dxfId="293" priority="542" stopIfTrue="1">
      <formula>$A15="integer"</formula>
    </cfRule>
    <cfRule type="expression" dxfId="292" priority="544" stopIfTrue="1">
      <formula>$A15="text"</formula>
    </cfRule>
    <cfRule type="expression" dxfId="291" priority="550" stopIfTrue="1">
      <formula>$A15="begin group"</formula>
    </cfRule>
  </conditionalFormatting>
  <conditionalFormatting sqref="A15">
    <cfRule type="expression" dxfId="290" priority="536" stopIfTrue="1">
      <formula>OR($A15="username", $A15="phonenumber", $A15="start", $A15="end", $A15="deviceid", $A15="subscriberid", $A15="simserial", $A15="caseid")</formula>
    </cfRule>
    <cfRule type="expression" dxfId="289" priority="545" stopIfTrue="1">
      <formula>$A15="end repeat"</formula>
    </cfRule>
    <cfRule type="expression" dxfId="288" priority="547" stopIfTrue="1">
      <formula>$A15="begin repeat"</formula>
    </cfRule>
    <cfRule type="expression" dxfId="287" priority="548" stopIfTrue="1">
      <formula>$A15="end group"</formula>
    </cfRule>
  </conditionalFormatting>
  <conditionalFormatting sqref="A15">
    <cfRule type="expression" dxfId="286" priority="549" stopIfTrue="1">
      <formula>$A15="begin group"</formula>
    </cfRule>
  </conditionalFormatting>
  <conditionalFormatting sqref="A15">
    <cfRule type="expression" dxfId="285" priority="524" stopIfTrue="1">
      <formula>$A15="image"</formula>
    </cfRule>
    <cfRule type="expression" dxfId="284" priority="526" stopIfTrue="1">
      <formula>OR($A15="date", $A15="datetime", $A15="time")</formula>
    </cfRule>
    <cfRule type="expression" dxfId="283" priority="537" stopIfTrue="1">
      <formula>OR(AND(LEFT($A15, 16)="select_multiple ", LEN($A15)&gt;16, NOT(ISNUMBER(SEARCH(" ", $A15, 17)))), AND(LEFT($A15, 11)="select_one ", LEN($A15)&gt;11, NOT(ISNUMBER(SEARCH(" ", $A15, 12)))))</formula>
    </cfRule>
  </conditionalFormatting>
  <conditionalFormatting sqref="A15">
    <cfRule type="expression" dxfId="282" priority="546" stopIfTrue="1">
      <formula>$A15="begin repeat"</formula>
    </cfRule>
  </conditionalFormatting>
  <conditionalFormatting sqref="A15">
    <cfRule type="expression" dxfId="281" priority="516" stopIfTrue="1">
      <formula>$A15="file"</formula>
    </cfRule>
    <cfRule type="expression" dxfId="280" priority="522" stopIfTrue="1">
      <formula>OR($A15="audio", $A15="video")</formula>
    </cfRule>
    <cfRule type="expression" dxfId="279" priority="529" stopIfTrue="1">
      <formula>$A15="note"</formula>
    </cfRule>
    <cfRule type="expression" dxfId="278" priority="531" stopIfTrue="1">
      <formula>$A15="barcode"</formula>
    </cfRule>
    <cfRule type="expression" dxfId="277" priority="533" stopIfTrue="1">
      <formula>OR($A15="geopoint", $A15="geoshape", $A15="geotrace")</formula>
    </cfRule>
  </conditionalFormatting>
  <conditionalFormatting sqref="A15">
    <cfRule type="expression" dxfId="276" priority="518" stopIfTrue="1">
      <formula>$A15="enumerator"</formula>
    </cfRule>
    <cfRule type="expression" dxfId="275" priority="543" stopIfTrue="1">
      <formula>$A15="text"</formula>
    </cfRule>
  </conditionalFormatting>
  <conditionalFormatting sqref="A15">
    <cfRule type="expression" dxfId="274" priority="539" stopIfTrue="1">
      <formula>$A15="decimal"</formula>
    </cfRule>
    <cfRule type="expression" dxfId="273" priority="541" stopIfTrue="1">
      <formula>$A15="integer"</formula>
    </cfRule>
  </conditionalFormatting>
  <conditionalFormatting sqref="A15">
    <cfRule type="containsText" dxfId="272" priority="515" operator="containsText" text="_oth">
      <formula>NOT(ISERROR(SEARCH("_oth",A15)))</formula>
    </cfRule>
  </conditionalFormatting>
  <conditionalFormatting sqref="A25">
    <cfRule type="expression" dxfId="271" priority="413" stopIfTrue="1">
      <formula>$A25="comments"</formula>
    </cfRule>
  </conditionalFormatting>
  <conditionalFormatting sqref="A25">
    <cfRule type="expression" dxfId="270" priority="409" stopIfTrue="1">
      <formula>$A25="file"</formula>
    </cfRule>
    <cfRule type="expression" dxfId="269" priority="415" stopIfTrue="1">
      <formula>OR($A25="audio", $A25="video")</formula>
    </cfRule>
    <cfRule type="expression" dxfId="268" priority="422" stopIfTrue="1">
      <formula>$A25="note"</formula>
    </cfRule>
    <cfRule type="expression" dxfId="267" priority="424" stopIfTrue="1">
      <formula>$A25="barcode"</formula>
    </cfRule>
    <cfRule type="expression" dxfId="266" priority="426" stopIfTrue="1">
      <formula>OR($A25="geopoint", $A25="geoshape", $A25="geotrace")</formula>
    </cfRule>
  </conditionalFormatting>
  <conditionalFormatting sqref="A25">
    <cfRule type="expression" dxfId="265" priority="412" stopIfTrue="1">
      <formula>OR(AND(LEFT($A25, 14)="sensor_stream ", LEN($A25)&gt;14, NOT(ISNUMBER(SEARCH(" ", $A25, 15)))), AND(LEFT($A25, 17)="sensor_statistic ", LEN($A25)&gt;17, NOT(ISNUMBER(SEARCH(" ", $A25, 18)))))</formula>
    </cfRule>
    <cfRule type="expression" dxfId="264" priority="427" stopIfTrue="1">
      <formula>OR($A25="audio audit", $A25="text audit", $A25="speed violations count", $A25="speed violations list", $A25="speed violations audit")</formula>
    </cfRule>
  </conditionalFormatting>
  <conditionalFormatting sqref="A25">
    <cfRule type="expression" dxfId="263" priority="420" stopIfTrue="1">
      <formula>OR($A25="calculate", $A25="calculate_here")</formula>
    </cfRule>
  </conditionalFormatting>
  <conditionalFormatting sqref="A25">
    <cfRule type="expression" dxfId="262" priority="411" stopIfTrue="1">
      <formula>$A25="enumerator"</formula>
    </cfRule>
    <cfRule type="expression" dxfId="261" priority="417" stopIfTrue="1">
      <formula>$A25="image"</formula>
    </cfRule>
    <cfRule type="expression" dxfId="260" priority="419" stopIfTrue="1">
      <formula>OR($A25="date", $A25="datetime", $A25="time")</formula>
    </cfRule>
    <cfRule type="expression" dxfId="259" priority="430" stopIfTrue="1">
      <formula>OR(AND(LEFT($A25, 16)="select_multiple ", LEN($A25)&gt;16, NOT(ISNUMBER(SEARCH(" ", $A25, 17)))), AND(LEFT($A25, 11)="select_one ", LEN($A25)&gt;11, NOT(ISNUMBER(SEARCH(" ", $A25, 12)))))</formula>
    </cfRule>
    <cfRule type="expression" dxfId="258" priority="432" stopIfTrue="1">
      <formula>$A25="decimal"</formula>
    </cfRule>
    <cfRule type="expression" dxfId="257" priority="434" stopIfTrue="1">
      <formula>$A25="integer"</formula>
    </cfRule>
    <cfRule type="expression" dxfId="256" priority="436" stopIfTrue="1">
      <formula>$A25="text"</formula>
    </cfRule>
    <cfRule type="expression" dxfId="255" priority="442" stopIfTrue="1">
      <formula>$A25="begin group"</formula>
    </cfRule>
  </conditionalFormatting>
  <conditionalFormatting sqref="A25">
    <cfRule type="expression" dxfId="254" priority="428" stopIfTrue="1">
      <formula>OR($A25="username", $A25="phonenumber", $A25="start", $A25="end", $A25="deviceid", $A25="subscriberid", $A25="simserial", $A25="caseid")</formula>
    </cfRule>
    <cfRule type="expression" dxfId="253" priority="437" stopIfTrue="1">
      <formula>$A25="end repeat"</formula>
    </cfRule>
    <cfRule type="expression" dxfId="252" priority="439" stopIfTrue="1">
      <formula>$A25="begin repeat"</formula>
    </cfRule>
    <cfRule type="expression" dxfId="251" priority="440" stopIfTrue="1">
      <formula>$A25="end group"</formula>
    </cfRule>
  </conditionalFormatting>
  <conditionalFormatting sqref="A25">
    <cfRule type="expression" dxfId="250" priority="441" stopIfTrue="1">
      <formula>$A25="begin group"</formula>
    </cfRule>
  </conditionalFormatting>
  <conditionalFormatting sqref="A25">
    <cfRule type="expression" dxfId="249" priority="416" stopIfTrue="1">
      <formula>$A25="image"</formula>
    </cfRule>
    <cfRule type="expression" dxfId="248" priority="418" stopIfTrue="1">
      <formula>OR($A25="date", $A25="datetime", $A25="time")</formula>
    </cfRule>
    <cfRule type="expression" dxfId="247" priority="429" stopIfTrue="1">
      <formula>OR(AND(LEFT($A25, 16)="select_multiple ", LEN($A25)&gt;16, NOT(ISNUMBER(SEARCH(" ", $A25, 17)))), AND(LEFT($A25, 11)="select_one ", LEN($A25)&gt;11, NOT(ISNUMBER(SEARCH(" ", $A25, 12)))))</formula>
    </cfRule>
  </conditionalFormatting>
  <conditionalFormatting sqref="A25">
    <cfRule type="expression" dxfId="246" priority="438" stopIfTrue="1">
      <formula>$A25="begin repeat"</formula>
    </cfRule>
  </conditionalFormatting>
  <conditionalFormatting sqref="A25">
    <cfRule type="expression" dxfId="245" priority="408" stopIfTrue="1">
      <formula>$A25="file"</formula>
    </cfRule>
    <cfRule type="expression" dxfId="244" priority="414" stopIfTrue="1">
      <formula>OR($A25="audio", $A25="video")</formula>
    </cfRule>
    <cfRule type="expression" dxfId="243" priority="421" stopIfTrue="1">
      <formula>$A25="note"</formula>
    </cfRule>
    <cfRule type="expression" dxfId="242" priority="423" stopIfTrue="1">
      <formula>$A25="barcode"</formula>
    </cfRule>
    <cfRule type="expression" dxfId="241" priority="425" stopIfTrue="1">
      <formula>OR($A25="geopoint", $A25="geoshape", $A25="geotrace")</formula>
    </cfRule>
  </conditionalFormatting>
  <conditionalFormatting sqref="A25">
    <cfRule type="expression" dxfId="240" priority="410" stopIfTrue="1">
      <formula>$A25="enumerator"</formula>
    </cfRule>
    <cfRule type="expression" dxfId="239" priority="435" stopIfTrue="1">
      <formula>$A25="text"</formula>
    </cfRule>
  </conditionalFormatting>
  <conditionalFormatting sqref="A25">
    <cfRule type="expression" dxfId="238" priority="431" stopIfTrue="1">
      <formula>$A25="decimal"</formula>
    </cfRule>
    <cfRule type="expression" dxfId="237" priority="433" stopIfTrue="1">
      <formula>$A25="integer"</formula>
    </cfRule>
  </conditionalFormatting>
  <conditionalFormatting sqref="A25">
    <cfRule type="containsText" dxfId="236" priority="407" operator="containsText" text="_oth">
      <formula>NOT(ISERROR(SEARCH("_oth",A25)))</formula>
    </cfRule>
  </conditionalFormatting>
  <conditionalFormatting sqref="D28">
    <cfRule type="expression" dxfId="235" priority="314" stopIfTrue="1">
      <formula>$A28="comments"</formula>
    </cfRule>
  </conditionalFormatting>
  <conditionalFormatting sqref="D28">
    <cfRule type="expression" dxfId="234" priority="310" stopIfTrue="1">
      <formula>$A28="file"</formula>
    </cfRule>
    <cfRule type="expression" dxfId="233" priority="315" stopIfTrue="1">
      <formula>OR($A28="audio", $A28="video")</formula>
    </cfRule>
    <cfRule type="expression" dxfId="232" priority="319" stopIfTrue="1">
      <formula>$A28="note"</formula>
    </cfRule>
    <cfRule type="expression" dxfId="231" priority="320" stopIfTrue="1">
      <formula>$A28="barcode"</formula>
    </cfRule>
    <cfRule type="expression" dxfId="230" priority="321" stopIfTrue="1">
      <formula>OR($A28="geopoint", $A28="geoshape", $A28="geotrace")</formula>
    </cfRule>
  </conditionalFormatting>
  <conditionalFormatting sqref="D28">
    <cfRule type="expression" dxfId="229" priority="313" stopIfTrue="1">
      <formula>OR(AND(LEFT($A28, 14)="sensor_stream ", LEN($A28)&gt;14, NOT(ISNUMBER(SEARCH(" ", $A28, 15)))), AND(LEFT($A28, 17)="sensor_statistic ", LEN($A28)&gt;17, NOT(ISNUMBER(SEARCH(" ", $A28, 18)))))</formula>
    </cfRule>
    <cfRule type="expression" dxfId="228" priority="322" stopIfTrue="1">
      <formula>OR($A28="audio audit", $A28="text audit", $A28="speed violations count", $A28="speed violations list", $A28="speed violations audit")</formula>
    </cfRule>
  </conditionalFormatting>
  <conditionalFormatting sqref="D28">
    <cfRule type="expression" dxfId="227" priority="318" stopIfTrue="1">
      <formula>OR($A28="calculate", $A28="calculate_here")</formula>
    </cfRule>
  </conditionalFormatting>
  <conditionalFormatting sqref="D28">
    <cfRule type="expression" dxfId="226" priority="312" stopIfTrue="1">
      <formula>$A28="enumerator"</formula>
    </cfRule>
    <cfRule type="expression" dxfId="225" priority="316" stopIfTrue="1">
      <formula>$A28="image"</formula>
    </cfRule>
    <cfRule type="expression" dxfId="224" priority="317" stopIfTrue="1">
      <formula>OR($A28="date", $A28="datetime", $A28="time")</formula>
    </cfRule>
    <cfRule type="expression" dxfId="223" priority="324" stopIfTrue="1">
      <formula>OR(AND(LEFT($A28, 16)="select_multiple ", LEN($A28)&gt;16, NOT(ISNUMBER(SEARCH(" ", $A28, 17)))), AND(LEFT($A28, 11)="select_one ", LEN($A28)&gt;11, NOT(ISNUMBER(SEARCH(" ", $A28, 12)))))</formula>
    </cfRule>
    <cfRule type="expression" dxfId="222" priority="326" stopIfTrue="1">
      <formula>$A28="decimal"</formula>
    </cfRule>
    <cfRule type="expression" dxfId="221" priority="328" stopIfTrue="1">
      <formula>$A28="integer"</formula>
    </cfRule>
    <cfRule type="expression" dxfId="220" priority="330" stopIfTrue="1">
      <formula>$A28="text"</formula>
    </cfRule>
    <cfRule type="expression" dxfId="219" priority="334" stopIfTrue="1">
      <formula>$A28="begin group"</formula>
    </cfRule>
  </conditionalFormatting>
  <conditionalFormatting sqref="D28">
    <cfRule type="expression" dxfId="218" priority="323" stopIfTrue="1">
      <formula>OR($A28="username", $A28="phonenumber", $A28="start", $A28="end", $A28="deviceid", $A28="subscriberid", $A28="simserial", $A28="caseid")</formula>
    </cfRule>
    <cfRule type="expression" dxfId="217" priority="331" stopIfTrue="1">
      <formula>$A28="end repeat"</formula>
    </cfRule>
    <cfRule type="expression" dxfId="216" priority="332" stopIfTrue="1">
      <formula>$A28="begin repeat"</formula>
    </cfRule>
    <cfRule type="expression" dxfId="215" priority="333" stopIfTrue="1">
      <formula>$A28="end group"</formula>
    </cfRule>
  </conditionalFormatting>
  <conditionalFormatting sqref="D28">
    <cfRule type="expression" dxfId="214" priority="311" stopIfTrue="1">
      <formula>$A28="enumerator"</formula>
    </cfRule>
    <cfRule type="expression" dxfId="213" priority="329" stopIfTrue="1">
      <formula>$A28="text"</formula>
    </cfRule>
  </conditionalFormatting>
  <conditionalFormatting sqref="D28">
    <cfRule type="expression" dxfId="212" priority="325" stopIfTrue="1">
      <formula>$A28="decimal"</formula>
    </cfRule>
    <cfRule type="expression" dxfId="211" priority="327" stopIfTrue="1">
      <formula>$A28="integer"</formula>
    </cfRule>
  </conditionalFormatting>
  <conditionalFormatting sqref="D28">
    <cfRule type="containsText" dxfId="210" priority="309" operator="containsText" text="_oth">
      <formula>NOT(ISERROR(SEARCH("_oth",D28)))</formula>
    </cfRule>
  </conditionalFormatting>
  <conditionalFormatting sqref="C6:C15">
    <cfRule type="expression" dxfId="209" priority="279" stopIfTrue="1">
      <formula>$A6="comments"</formula>
    </cfRule>
  </conditionalFormatting>
  <conditionalFormatting sqref="C6:C15">
    <cfRule type="expression" dxfId="208" priority="275" stopIfTrue="1">
      <formula>$A6="file"</formula>
    </cfRule>
    <cfRule type="expression" dxfId="207" priority="281" stopIfTrue="1">
      <formula>OR($A6="audio", $A6="video")</formula>
    </cfRule>
    <cfRule type="expression" dxfId="206" priority="288" stopIfTrue="1">
      <formula>$A6="note"</formula>
    </cfRule>
    <cfRule type="expression" dxfId="205" priority="290" stopIfTrue="1">
      <formula>$A6="barcode"</formula>
    </cfRule>
    <cfRule type="expression" dxfId="204" priority="292" stopIfTrue="1">
      <formula>OR($A6="geopoint", $A6="geoshape", $A6="geotrace")</formula>
    </cfRule>
  </conditionalFormatting>
  <conditionalFormatting sqref="C6:C15">
    <cfRule type="expression" dxfId="203" priority="278" stopIfTrue="1">
      <formula>OR(AND(LEFT($A6, 14)="sensor_stream ", LEN($A6)&gt;14, NOT(ISNUMBER(SEARCH(" ", $A6, 15)))), AND(LEFT($A6, 17)="sensor_statistic ", LEN($A6)&gt;17, NOT(ISNUMBER(SEARCH(" ", $A6, 18)))))</formula>
    </cfRule>
    <cfRule type="expression" dxfId="202" priority="293" stopIfTrue="1">
      <formula>OR($A6="audio audit", $A6="text audit", $A6="speed violations count", $A6="speed violations list", $A6="speed violations audit")</formula>
    </cfRule>
  </conditionalFormatting>
  <conditionalFormatting sqref="C6:C15">
    <cfRule type="expression" dxfId="201" priority="286" stopIfTrue="1">
      <formula>OR($A6="calculate", $A6="calculate_here")</formula>
    </cfRule>
  </conditionalFormatting>
  <conditionalFormatting sqref="C6:C15">
    <cfRule type="expression" dxfId="200" priority="277" stopIfTrue="1">
      <formula>$A6="enumerator"</formula>
    </cfRule>
    <cfRule type="expression" dxfId="199" priority="283" stopIfTrue="1">
      <formula>$A6="image"</formula>
    </cfRule>
    <cfRule type="expression" dxfId="198" priority="285" stopIfTrue="1">
      <formula>OR($A6="date", $A6="datetime", $A6="time")</formula>
    </cfRule>
    <cfRule type="expression" dxfId="197" priority="296" stopIfTrue="1">
      <formula>OR(AND(LEFT($A6, 16)="select_multiple ", LEN($A6)&gt;16, NOT(ISNUMBER(SEARCH(" ", $A6, 17)))), AND(LEFT($A6, 11)="select_one ", LEN($A6)&gt;11, NOT(ISNUMBER(SEARCH(" ", $A6, 12)))))</formula>
    </cfRule>
    <cfRule type="expression" dxfId="196" priority="298" stopIfTrue="1">
      <formula>$A6="decimal"</formula>
    </cfRule>
    <cfRule type="expression" dxfId="195" priority="300" stopIfTrue="1">
      <formula>$A6="integer"</formula>
    </cfRule>
    <cfRule type="expression" dxfId="194" priority="302" stopIfTrue="1">
      <formula>$A6="text"</formula>
    </cfRule>
    <cfRule type="expression" dxfId="193" priority="308" stopIfTrue="1">
      <formula>$A6="begin group"</formula>
    </cfRule>
  </conditionalFormatting>
  <conditionalFormatting sqref="C6:C15">
    <cfRule type="expression" dxfId="192" priority="294" stopIfTrue="1">
      <formula>OR($A6="username", $A6="phonenumber", $A6="start", $A6="end", $A6="deviceid", $A6="subscriberid", $A6="simserial", $A6="caseid")</formula>
    </cfRule>
    <cfRule type="expression" dxfId="191" priority="303" stopIfTrue="1">
      <formula>$A6="end repeat"</formula>
    </cfRule>
    <cfRule type="expression" dxfId="190" priority="305" stopIfTrue="1">
      <formula>$A6="begin repeat"</formula>
    </cfRule>
    <cfRule type="expression" dxfId="189" priority="306" stopIfTrue="1">
      <formula>$A6="end group"</formula>
    </cfRule>
  </conditionalFormatting>
  <conditionalFormatting sqref="C6:C15">
    <cfRule type="expression" dxfId="188" priority="307" stopIfTrue="1">
      <formula>$A6="begin group"</formula>
    </cfRule>
  </conditionalFormatting>
  <conditionalFormatting sqref="C6:C15">
    <cfRule type="expression" dxfId="187" priority="282" stopIfTrue="1">
      <formula>$A6="image"</formula>
    </cfRule>
    <cfRule type="expression" dxfId="186" priority="284" stopIfTrue="1">
      <formula>OR($A6="date", $A6="datetime", $A6="time")</formula>
    </cfRule>
    <cfRule type="expression" dxfId="185" priority="295" stopIfTrue="1">
      <formula>OR(AND(LEFT($A6, 16)="select_multiple ", LEN($A6)&gt;16, NOT(ISNUMBER(SEARCH(" ", $A6, 17)))), AND(LEFT($A6, 11)="select_one ", LEN($A6)&gt;11, NOT(ISNUMBER(SEARCH(" ", $A6, 12)))))</formula>
    </cfRule>
  </conditionalFormatting>
  <conditionalFormatting sqref="C6:C15">
    <cfRule type="expression" dxfId="184" priority="304" stopIfTrue="1">
      <formula>$A6="begin repeat"</formula>
    </cfRule>
  </conditionalFormatting>
  <conditionalFormatting sqref="C6:C15">
    <cfRule type="expression" dxfId="183" priority="274" stopIfTrue="1">
      <formula>$A6="file"</formula>
    </cfRule>
    <cfRule type="expression" dxfId="182" priority="280" stopIfTrue="1">
      <formula>OR($A6="audio", $A6="video")</formula>
    </cfRule>
    <cfRule type="expression" dxfId="181" priority="287" stopIfTrue="1">
      <formula>$A6="note"</formula>
    </cfRule>
    <cfRule type="expression" dxfId="180" priority="289" stopIfTrue="1">
      <formula>$A6="barcode"</formula>
    </cfRule>
    <cfRule type="expression" dxfId="179" priority="291" stopIfTrue="1">
      <formula>OR($A6="geopoint", $A6="geoshape", $A6="geotrace")</formula>
    </cfRule>
  </conditionalFormatting>
  <conditionalFormatting sqref="C6:C15">
    <cfRule type="expression" dxfId="178" priority="276" stopIfTrue="1">
      <formula>$A6="enumerator"</formula>
    </cfRule>
    <cfRule type="expression" dxfId="177" priority="301" stopIfTrue="1">
      <formula>$A6="text"</formula>
    </cfRule>
  </conditionalFormatting>
  <conditionalFormatting sqref="C6:C15">
    <cfRule type="expression" dxfId="176" priority="297" stopIfTrue="1">
      <formula>$A6="decimal"</formula>
    </cfRule>
    <cfRule type="expression" dxfId="175" priority="299" stopIfTrue="1">
      <formula>$A6="integer"</formula>
    </cfRule>
  </conditionalFormatting>
  <conditionalFormatting sqref="C17">
    <cfRule type="expression" dxfId="174" priority="244" stopIfTrue="1">
      <formula>$A17="comments"</formula>
    </cfRule>
  </conditionalFormatting>
  <conditionalFormatting sqref="C17">
    <cfRule type="expression" dxfId="173" priority="240" stopIfTrue="1">
      <formula>$A17="file"</formula>
    </cfRule>
    <cfRule type="expression" dxfId="172" priority="246" stopIfTrue="1">
      <formula>OR($A17="audio", $A17="video")</formula>
    </cfRule>
    <cfRule type="expression" dxfId="171" priority="253" stopIfTrue="1">
      <formula>$A17="note"</formula>
    </cfRule>
    <cfRule type="expression" dxfId="170" priority="255" stopIfTrue="1">
      <formula>$A17="barcode"</formula>
    </cfRule>
    <cfRule type="expression" dxfId="169" priority="257" stopIfTrue="1">
      <formula>OR($A17="geopoint", $A17="geoshape", $A17="geotrace")</formula>
    </cfRule>
  </conditionalFormatting>
  <conditionalFormatting sqref="C17">
    <cfRule type="expression" dxfId="168" priority="243" stopIfTrue="1">
      <formula>OR(AND(LEFT($A17, 14)="sensor_stream ", LEN($A17)&gt;14, NOT(ISNUMBER(SEARCH(" ", $A17, 15)))), AND(LEFT($A17, 17)="sensor_statistic ", LEN($A17)&gt;17, NOT(ISNUMBER(SEARCH(" ", $A17, 18)))))</formula>
    </cfRule>
    <cfRule type="expression" dxfId="167" priority="258" stopIfTrue="1">
      <formula>OR($A17="audio audit", $A17="text audit", $A17="speed violations count", $A17="speed violations list", $A17="speed violations audit")</formula>
    </cfRule>
  </conditionalFormatting>
  <conditionalFormatting sqref="C17">
    <cfRule type="expression" dxfId="166" priority="251" stopIfTrue="1">
      <formula>OR($A17="calculate", $A17="calculate_here")</formula>
    </cfRule>
  </conditionalFormatting>
  <conditionalFormatting sqref="C17">
    <cfRule type="expression" dxfId="165" priority="242" stopIfTrue="1">
      <formula>$A17="enumerator"</formula>
    </cfRule>
    <cfRule type="expression" dxfId="164" priority="248" stopIfTrue="1">
      <formula>$A17="image"</formula>
    </cfRule>
    <cfRule type="expression" dxfId="163" priority="250" stopIfTrue="1">
      <formula>OR($A17="date", $A17="datetime", $A17="time")</formula>
    </cfRule>
    <cfRule type="expression" dxfId="162" priority="261" stopIfTrue="1">
      <formula>OR(AND(LEFT($A17, 16)="select_multiple ", LEN($A17)&gt;16, NOT(ISNUMBER(SEARCH(" ", $A17, 17)))), AND(LEFT($A17, 11)="select_one ", LEN($A17)&gt;11, NOT(ISNUMBER(SEARCH(" ", $A17, 12)))))</formula>
    </cfRule>
    <cfRule type="expression" dxfId="161" priority="263" stopIfTrue="1">
      <formula>$A17="decimal"</formula>
    </cfRule>
    <cfRule type="expression" dxfId="160" priority="265" stopIfTrue="1">
      <formula>$A17="integer"</formula>
    </cfRule>
    <cfRule type="expression" dxfId="159" priority="267" stopIfTrue="1">
      <formula>$A17="text"</formula>
    </cfRule>
    <cfRule type="expression" dxfId="158" priority="273" stopIfTrue="1">
      <formula>$A17="begin group"</formula>
    </cfRule>
  </conditionalFormatting>
  <conditionalFormatting sqref="C17">
    <cfRule type="expression" dxfId="157" priority="259" stopIfTrue="1">
      <formula>OR($A17="username", $A17="phonenumber", $A17="start", $A17="end", $A17="deviceid", $A17="subscriberid", $A17="simserial", $A17="caseid")</formula>
    </cfRule>
    <cfRule type="expression" dxfId="156" priority="268" stopIfTrue="1">
      <formula>$A17="end repeat"</formula>
    </cfRule>
    <cfRule type="expression" dxfId="155" priority="270" stopIfTrue="1">
      <formula>$A17="begin repeat"</formula>
    </cfRule>
    <cfRule type="expression" dxfId="154" priority="271" stopIfTrue="1">
      <formula>$A17="end group"</formula>
    </cfRule>
  </conditionalFormatting>
  <conditionalFormatting sqref="C17">
    <cfRule type="expression" dxfId="153" priority="272" stopIfTrue="1">
      <formula>$A17="begin group"</formula>
    </cfRule>
  </conditionalFormatting>
  <conditionalFormatting sqref="C17">
    <cfRule type="expression" dxfId="152" priority="247" stopIfTrue="1">
      <formula>$A17="image"</formula>
    </cfRule>
    <cfRule type="expression" dxfId="151" priority="249" stopIfTrue="1">
      <formula>OR($A17="date", $A17="datetime", $A17="time")</formula>
    </cfRule>
    <cfRule type="expression" dxfId="150" priority="260" stopIfTrue="1">
      <formula>OR(AND(LEFT($A17, 16)="select_multiple ", LEN($A17)&gt;16, NOT(ISNUMBER(SEARCH(" ", $A17, 17)))), AND(LEFT($A17, 11)="select_one ", LEN($A17)&gt;11, NOT(ISNUMBER(SEARCH(" ", $A17, 12)))))</formula>
    </cfRule>
  </conditionalFormatting>
  <conditionalFormatting sqref="C17">
    <cfRule type="expression" dxfId="149" priority="269" stopIfTrue="1">
      <formula>$A17="begin repeat"</formula>
    </cfRule>
  </conditionalFormatting>
  <conditionalFormatting sqref="C17">
    <cfRule type="expression" dxfId="148" priority="239" stopIfTrue="1">
      <formula>$A17="file"</formula>
    </cfRule>
    <cfRule type="expression" dxfId="147" priority="245" stopIfTrue="1">
      <formula>OR($A17="audio", $A17="video")</formula>
    </cfRule>
    <cfRule type="expression" dxfId="146" priority="252" stopIfTrue="1">
      <formula>$A17="note"</formula>
    </cfRule>
    <cfRule type="expression" dxfId="145" priority="254" stopIfTrue="1">
      <formula>$A17="barcode"</formula>
    </cfRule>
    <cfRule type="expression" dxfId="144" priority="256" stopIfTrue="1">
      <formula>OR($A17="geopoint", $A17="geoshape", $A17="geotrace")</formula>
    </cfRule>
  </conditionalFormatting>
  <conditionalFormatting sqref="C17">
    <cfRule type="expression" dxfId="143" priority="241" stopIfTrue="1">
      <formula>$A17="enumerator"</formula>
    </cfRule>
    <cfRule type="expression" dxfId="142" priority="266" stopIfTrue="1">
      <formula>$A17="text"</formula>
    </cfRule>
  </conditionalFormatting>
  <conditionalFormatting sqref="C17">
    <cfRule type="expression" dxfId="141" priority="262" stopIfTrue="1">
      <formula>$A17="decimal"</formula>
    </cfRule>
    <cfRule type="expression" dxfId="140" priority="264" stopIfTrue="1">
      <formula>$A17="integer"</formula>
    </cfRule>
  </conditionalFormatting>
  <conditionalFormatting sqref="C25">
    <cfRule type="expression" dxfId="139" priority="209" stopIfTrue="1">
      <formula>$A25="comments"</formula>
    </cfRule>
  </conditionalFormatting>
  <conditionalFormatting sqref="C25">
    <cfRule type="expression" dxfId="138" priority="205" stopIfTrue="1">
      <formula>$A25="file"</formula>
    </cfRule>
    <cfRule type="expression" dxfId="137" priority="211" stopIfTrue="1">
      <formula>OR($A25="audio", $A25="video")</formula>
    </cfRule>
    <cfRule type="expression" dxfId="136" priority="218" stopIfTrue="1">
      <formula>$A25="note"</formula>
    </cfRule>
    <cfRule type="expression" dxfId="135" priority="220" stopIfTrue="1">
      <formula>$A25="barcode"</formula>
    </cfRule>
    <cfRule type="expression" dxfId="134" priority="222" stopIfTrue="1">
      <formula>OR($A25="geopoint", $A25="geoshape", $A25="geotrace")</formula>
    </cfRule>
  </conditionalFormatting>
  <conditionalFormatting sqref="C25">
    <cfRule type="expression" dxfId="133" priority="208" stopIfTrue="1">
      <formula>OR(AND(LEFT($A25, 14)="sensor_stream ", LEN($A25)&gt;14, NOT(ISNUMBER(SEARCH(" ", $A25, 15)))), AND(LEFT($A25, 17)="sensor_statistic ", LEN($A25)&gt;17, NOT(ISNUMBER(SEARCH(" ", $A25, 18)))))</formula>
    </cfRule>
    <cfRule type="expression" dxfId="132" priority="223" stopIfTrue="1">
      <formula>OR($A25="audio audit", $A25="text audit", $A25="speed violations count", $A25="speed violations list", $A25="speed violations audit")</formula>
    </cfRule>
  </conditionalFormatting>
  <conditionalFormatting sqref="C25">
    <cfRule type="expression" dxfId="131" priority="216" stopIfTrue="1">
      <formula>OR($A25="calculate", $A25="calculate_here")</formula>
    </cfRule>
  </conditionalFormatting>
  <conditionalFormatting sqref="C25">
    <cfRule type="expression" dxfId="130" priority="207" stopIfTrue="1">
      <formula>$A25="enumerator"</formula>
    </cfRule>
    <cfRule type="expression" dxfId="129" priority="213" stopIfTrue="1">
      <formula>$A25="image"</formula>
    </cfRule>
    <cfRule type="expression" dxfId="128" priority="215" stopIfTrue="1">
      <formula>OR($A25="date", $A25="datetime", $A25="time")</formula>
    </cfRule>
    <cfRule type="expression" dxfId="127" priority="226" stopIfTrue="1">
      <formula>OR(AND(LEFT($A25, 16)="select_multiple ", LEN($A25)&gt;16, NOT(ISNUMBER(SEARCH(" ", $A25, 17)))), AND(LEFT($A25, 11)="select_one ", LEN($A25)&gt;11, NOT(ISNUMBER(SEARCH(" ", $A25, 12)))))</formula>
    </cfRule>
    <cfRule type="expression" dxfId="126" priority="228" stopIfTrue="1">
      <formula>$A25="decimal"</formula>
    </cfRule>
    <cfRule type="expression" dxfId="125" priority="230" stopIfTrue="1">
      <formula>$A25="integer"</formula>
    </cfRule>
    <cfRule type="expression" dxfId="124" priority="232" stopIfTrue="1">
      <formula>$A25="text"</formula>
    </cfRule>
    <cfRule type="expression" dxfId="123" priority="238" stopIfTrue="1">
      <formula>$A25="begin group"</formula>
    </cfRule>
  </conditionalFormatting>
  <conditionalFormatting sqref="C25">
    <cfRule type="expression" dxfId="122" priority="224" stopIfTrue="1">
      <formula>OR($A25="username", $A25="phonenumber", $A25="start", $A25="end", $A25="deviceid", $A25="subscriberid", $A25="simserial", $A25="caseid")</formula>
    </cfRule>
    <cfRule type="expression" dxfId="121" priority="233" stopIfTrue="1">
      <formula>$A25="end repeat"</formula>
    </cfRule>
    <cfRule type="expression" dxfId="120" priority="235" stopIfTrue="1">
      <formula>$A25="begin repeat"</formula>
    </cfRule>
    <cfRule type="expression" dxfId="119" priority="236" stopIfTrue="1">
      <formula>$A25="end group"</formula>
    </cfRule>
  </conditionalFormatting>
  <conditionalFormatting sqref="C25">
    <cfRule type="expression" dxfId="118" priority="237" stopIfTrue="1">
      <formula>$A25="begin group"</formula>
    </cfRule>
  </conditionalFormatting>
  <conditionalFormatting sqref="C25">
    <cfRule type="expression" dxfId="117" priority="212" stopIfTrue="1">
      <formula>$A25="image"</formula>
    </cfRule>
    <cfRule type="expression" dxfId="116" priority="214" stopIfTrue="1">
      <formula>OR($A25="date", $A25="datetime", $A25="time")</formula>
    </cfRule>
    <cfRule type="expression" dxfId="115" priority="225" stopIfTrue="1">
      <formula>OR(AND(LEFT($A25, 16)="select_multiple ", LEN($A25)&gt;16, NOT(ISNUMBER(SEARCH(" ", $A25, 17)))), AND(LEFT($A25, 11)="select_one ", LEN($A25)&gt;11, NOT(ISNUMBER(SEARCH(" ", $A25, 12)))))</formula>
    </cfRule>
  </conditionalFormatting>
  <conditionalFormatting sqref="C25">
    <cfRule type="expression" dxfId="114" priority="234" stopIfTrue="1">
      <formula>$A25="begin repeat"</formula>
    </cfRule>
  </conditionalFormatting>
  <conditionalFormatting sqref="C25">
    <cfRule type="expression" dxfId="113" priority="204" stopIfTrue="1">
      <formula>$A25="file"</formula>
    </cfRule>
    <cfRule type="expression" dxfId="112" priority="210" stopIfTrue="1">
      <formula>OR($A25="audio", $A25="video")</formula>
    </cfRule>
    <cfRule type="expression" dxfId="111" priority="217" stopIfTrue="1">
      <formula>$A25="note"</formula>
    </cfRule>
    <cfRule type="expression" dxfId="110" priority="219" stopIfTrue="1">
      <formula>$A25="barcode"</formula>
    </cfRule>
    <cfRule type="expression" dxfId="109" priority="221" stopIfTrue="1">
      <formula>OR($A25="geopoint", $A25="geoshape", $A25="geotrace")</formula>
    </cfRule>
  </conditionalFormatting>
  <conditionalFormatting sqref="C25">
    <cfRule type="expression" dxfId="108" priority="206" stopIfTrue="1">
      <formula>$A25="enumerator"</formula>
    </cfRule>
    <cfRule type="expression" dxfId="107" priority="231" stopIfTrue="1">
      <formula>$A25="text"</formula>
    </cfRule>
  </conditionalFormatting>
  <conditionalFormatting sqref="C25">
    <cfRule type="expression" dxfId="106" priority="227" stopIfTrue="1">
      <formula>$A25="decimal"</formula>
    </cfRule>
    <cfRule type="expression" dxfId="105" priority="229" stopIfTrue="1">
      <formula>$A25="integer"</formula>
    </cfRule>
  </conditionalFormatting>
  <conditionalFormatting sqref="C28">
    <cfRule type="expression" dxfId="104" priority="174" stopIfTrue="1">
      <formula>$A28="comments"</formula>
    </cfRule>
  </conditionalFormatting>
  <conditionalFormatting sqref="C28">
    <cfRule type="expression" dxfId="103" priority="170" stopIfTrue="1">
      <formula>$A28="file"</formula>
    </cfRule>
    <cfRule type="expression" dxfId="102" priority="176" stopIfTrue="1">
      <formula>OR($A28="audio", $A28="video")</formula>
    </cfRule>
    <cfRule type="expression" dxfId="101" priority="183" stopIfTrue="1">
      <formula>$A28="note"</formula>
    </cfRule>
    <cfRule type="expression" dxfId="100" priority="185" stopIfTrue="1">
      <formula>$A28="barcode"</formula>
    </cfRule>
    <cfRule type="expression" dxfId="99" priority="187" stopIfTrue="1">
      <formula>OR($A28="geopoint", $A28="geoshape", $A28="geotrace")</formula>
    </cfRule>
  </conditionalFormatting>
  <conditionalFormatting sqref="C28">
    <cfRule type="expression" dxfId="98" priority="173" stopIfTrue="1">
      <formula>OR(AND(LEFT($A28, 14)="sensor_stream ", LEN($A28)&gt;14, NOT(ISNUMBER(SEARCH(" ", $A28, 15)))), AND(LEFT($A28, 17)="sensor_statistic ", LEN($A28)&gt;17, NOT(ISNUMBER(SEARCH(" ", $A28, 18)))))</formula>
    </cfRule>
    <cfRule type="expression" dxfId="97" priority="188" stopIfTrue="1">
      <formula>OR($A28="audio audit", $A28="text audit", $A28="speed violations count", $A28="speed violations list", $A28="speed violations audit")</formula>
    </cfRule>
  </conditionalFormatting>
  <conditionalFormatting sqref="C28">
    <cfRule type="expression" dxfId="96" priority="181" stopIfTrue="1">
      <formula>OR($A28="calculate", $A28="calculate_here")</formula>
    </cfRule>
  </conditionalFormatting>
  <conditionalFormatting sqref="C28">
    <cfRule type="expression" dxfId="95" priority="172" stopIfTrue="1">
      <formula>$A28="enumerator"</formula>
    </cfRule>
    <cfRule type="expression" dxfId="94" priority="178" stopIfTrue="1">
      <formula>$A28="image"</formula>
    </cfRule>
    <cfRule type="expression" dxfId="93" priority="180" stopIfTrue="1">
      <formula>OR($A28="date", $A28="datetime", $A28="time")</formula>
    </cfRule>
    <cfRule type="expression" dxfId="92" priority="191" stopIfTrue="1">
      <formula>OR(AND(LEFT($A28, 16)="select_multiple ", LEN($A28)&gt;16, NOT(ISNUMBER(SEARCH(" ", $A28, 17)))), AND(LEFT($A28, 11)="select_one ", LEN($A28)&gt;11, NOT(ISNUMBER(SEARCH(" ", $A28, 12)))))</formula>
    </cfRule>
    <cfRule type="expression" dxfId="91" priority="193" stopIfTrue="1">
      <formula>$A28="decimal"</formula>
    </cfRule>
    <cfRule type="expression" dxfId="90" priority="195" stopIfTrue="1">
      <formula>$A28="integer"</formula>
    </cfRule>
    <cfRule type="expression" dxfId="89" priority="197" stopIfTrue="1">
      <formula>$A28="text"</formula>
    </cfRule>
    <cfRule type="expression" dxfId="88" priority="203" stopIfTrue="1">
      <formula>$A28="begin group"</formula>
    </cfRule>
  </conditionalFormatting>
  <conditionalFormatting sqref="C28">
    <cfRule type="expression" dxfId="87" priority="189" stopIfTrue="1">
      <formula>OR($A28="username", $A28="phonenumber", $A28="start", $A28="end", $A28="deviceid", $A28="subscriberid", $A28="simserial", $A28="caseid")</formula>
    </cfRule>
    <cfRule type="expression" dxfId="86" priority="198" stopIfTrue="1">
      <formula>$A28="end repeat"</formula>
    </cfRule>
    <cfRule type="expression" dxfId="85" priority="200" stopIfTrue="1">
      <formula>$A28="begin repeat"</formula>
    </cfRule>
    <cfRule type="expression" dxfId="84" priority="201" stopIfTrue="1">
      <formula>$A28="end group"</formula>
    </cfRule>
  </conditionalFormatting>
  <conditionalFormatting sqref="C28">
    <cfRule type="expression" dxfId="83" priority="202" stopIfTrue="1">
      <formula>$A28="begin group"</formula>
    </cfRule>
  </conditionalFormatting>
  <conditionalFormatting sqref="C28">
    <cfRule type="expression" dxfId="82" priority="177" stopIfTrue="1">
      <formula>$A28="image"</formula>
    </cfRule>
    <cfRule type="expression" dxfId="81" priority="179" stopIfTrue="1">
      <formula>OR($A28="date", $A28="datetime", $A28="time")</formula>
    </cfRule>
    <cfRule type="expression" dxfId="80" priority="190" stopIfTrue="1">
      <formula>OR(AND(LEFT($A28, 16)="select_multiple ", LEN($A28)&gt;16, NOT(ISNUMBER(SEARCH(" ", $A28, 17)))), AND(LEFT($A28, 11)="select_one ", LEN($A28)&gt;11, NOT(ISNUMBER(SEARCH(" ", $A28, 12)))))</formula>
    </cfRule>
  </conditionalFormatting>
  <conditionalFormatting sqref="C28">
    <cfRule type="expression" dxfId="79" priority="199" stopIfTrue="1">
      <formula>$A28="begin repeat"</formula>
    </cfRule>
  </conditionalFormatting>
  <conditionalFormatting sqref="C28">
    <cfRule type="expression" dxfId="78" priority="169" stopIfTrue="1">
      <formula>$A28="file"</formula>
    </cfRule>
    <cfRule type="expression" dxfId="77" priority="175" stopIfTrue="1">
      <formula>OR($A28="audio", $A28="video")</formula>
    </cfRule>
    <cfRule type="expression" dxfId="76" priority="182" stopIfTrue="1">
      <formula>$A28="note"</formula>
    </cfRule>
    <cfRule type="expression" dxfId="75" priority="184" stopIfTrue="1">
      <formula>$A28="barcode"</formula>
    </cfRule>
    <cfRule type="expression" dxfId="74" priority="186" stopIfTrue="1">
      <formula>OR($A28="geopoint", $A28="geoshape", $A28="geotrace")</formula>
    </cfRule>
  </conditionalFormatting>
  <conditionalFormatting sqref="C28">
    <cfRule type="expression" dxfId="73" priority="171" stopIfTrue="1">
      <formula>$A28="enumerator"</formula>
    </cfRule>
    <cfRule type="expression" dxfId="72" priority="196" stopIfTrue="1">
      <formula>$A28="text"</formula>
    </cfRule>
  </conditionalFormatting>
  <conditionalFormatting sqref="C28">
    <cfRule type="expression" dxfId="71" priority="192" stopIfTrue="1">
      <formula>$A28="decimal"</formula>
    </cfRule>
    <cfRule type="expression" dxfId="70" priority="194" stopIfTrue="1">
      <formula>$A28="integer"</formula>
    </cfRule>
  </conditionalFormatting>
  <conditionalFormatting sqref="A3">
    <cfRule type="expression" dxfId="69" priority="101" stopIfTrue="1">
      <formula>$A3="comments"</formula>
    </cfRule>
  </conditionalFormatting>
  <conditionalFormatting sqref="A3">
    <cfRule type="expression" dxfId="68" priority="97" stopIfTrue="1">
      <formula>$A3="file"</formula>
    </cfRule>
    <cfRule type="expression" dxfId="67" priority="103" stopIfTrue="1">
      <formula>OR($A3="audio", $A3="video")</formula>
    </cfRule>
    <cfRule type="expression" dxfId="66" priority="110" stopIfTrue="1">
      <formula>$A3="note"</formula>
    </cfRule>
    <cfRule type="expression" dxfId="65" priority="112" stopIfTrue="1">
      <formula>$A3="barcode"</formula>
    </cfRule>
    <cfRule type="expression" dxfId="64" priority="114" stopIfTrue="1">
      <formula>OR($A3="geopoint", $A3="geoshape", $A3="geotrace")</formula>
    </cfRule>
  </conditionalFormatting>
  <conditionalFormatting sqref="A3">
    <cfRule type="expression" dxfId="63" priority="100" stopIfTrue="1">
      <formula>OR(AND(LEFT($A3, 14)="sensor_stream ", LEN($A3)&gt;14, NOT(ISNUMBER(SEARCH(" ", $A3, 15)))), AND(LEFT($A3, 17)="sensor_statistic ", LEN($A3)&gt;17, NOT(ISNUMBER(SEARCH(" ", $A3, 18)))))</formula>
    </cfRule>
    <cfRule type="expression" dxfId="62" priority="115" stopIfTrue="1">
      <formula>OR($A3="audio audit", $A3="text audit", $A3="speed violations count", $A3="speed violations list", $A3="speed violations audit")</formula>
    </cfRule>
  </conditionalFormatting>
  <conditionalFormatting sqref="A3">
    <cfRule type="expression" dxfId="61" priority="108" stopIfTrue="1">
      <formula>OR($A3="calculate", $A3="calculate_here")</formula>
    </cfRule>
  </conditionalFormatting>
  <conditionalFormatting sqref="A3">
    <cfRule type="expression" dxfId="60" priority="99" stopIfTrue="1">
      <formula>$A3="enumerator"</formula>
    </cfRule>
    <cfRule type="expression" dxfId="59" priority="105" stopIfTrue="1">
      <formula>$A3="image"</formula>
    </cfRule>
    <cfRule type="expression" dxfId="58" priority="107" stopIfTrue="1">
      <formula>OR($A3="date", $A3="datetime", $A3="time")</formula>
    </cfRule>
    <cfRule type="expression" dxfId="57" priority="118" stopIfTrue="1">
      <formula>OR(AND(LEFT($A3, 16)="select_multiple ", LEN($A3)&gt;16, NOT(ISNUMBER(SEARCH(" ", $A3, 17)))), AND(LEFT($A3, 11)="select_one ", LEN($A3)&gt;11, NOT(ISNUMBER(SEARCH(" ", $A3, 12)))))</formula>
    </cfRule>
    <cfRule type="expression" dxfId="56" priority="120" stopIfTrue="1">
      <formula>$A3="decimal"</formula>
    </cfRule>
    <cfRule type="expression" dxfId="55" priority="122" stopIfTrue="1">
      <formula>$A3="integer"</formula>
    </cfRule>
    <cfRule type="expression" dxfId="54" priority="124" stopIfTrue="1">
      <formula>$A3="text"</formula>
    </cfRule>
    <cfRule type="expression" dxfId="53" priority="130" stopIfTrue="1">
      <formula>$A3="begin group"</formula>
    </cfRule>
  </conditionalFormatting>
  <conditionalFormatting sqref="A3">
    <cfRule type="expression" dxfId="52" priority="116" stopIfTrue="1">
      <formula>OR($A3="username", $A3="phonenumber", $A3="start", $A3="end", $A3="deviceid", $A3="subscriberid", $A3="simserial", $A3="caseid")</formula>
    </cfRule>
    <cfRule type="expression" dxfId="51" priority="125" stopIfTrue="1">
      <formula>$A3="end repeat"</formula>
    </cfRule>
    <cfRule type="expression" dxfId="50" priority="127" stopIfTrue="1">
      <formula>$A3="begin repeat"</formula>
    </cfRule>
    <cfRule type="expression" dxfId="49" priority="128" stopIfTrue="1">
      <formula>$A3="end group"</formula>
    </cfRule>
  </conditionalFormatting>
  <conditionalFormatting sqref="A3">
    <cfRule type="expression" dxfId="48" priority="129" stopIfTrue="1">
      <formula>$A3="begin group"</formula>
    </cfRule>
  </conditionalFormatting>
  <conditionalFormatting sqref="A3">
    <cfRule type="expression" dxfId="47" priority="104" stopIfTrue="1">
      <formula>$A3="image"</formula>
    </cfRule>
    <cfRule type="expression" dxfId="46" priority="106" stopIfTrue="1">
      <formula>OR($A3="date", $A3="datetime", $A3="time")</formula>
    </cfRule>
    <cfRule type="expression" dxfId="45" priority="117" stopIfTrue="1">
      <formula>OR(AND(LEFT($A3, 16)="select_multiple ", LEN($A3)&gt;16, NOT(ISNUMBER(SEARCH(" ", $A3, 17)))), AND(LEFT($A3, 11)="select_one ", LEN($A3)&gt;11, NOT(ISNUMBER(SEARCH(" ", $A3, 12)))))</formula>
    </cfRule>
  </conditionalFormatting>
  <conditionalFormatting sqref="A3">
    <cfRule type="expression" dxfId="44" priority="126" stopIfTrue="1">
      <formula>$A3="begin repeat"</formula>
    </cfRule>
  </conditionalFormatting>
  <conditionalFormatting sqref="A3">
    <cfRule type="expression" dxfId="43" priority="96" stopIfTrue="1">
      <formula>$A3="file"</formula>
    </cfRule>
    <cfRule type="expression" dxfId="42" priority="102" stopIfTrue="1">
      <formula>OR($A3="audio", $A3="video")</formula>
    </cfRule>
    <cfRule type="expression" dxfId="41" priority="109" stopIfTrue="1">
      <formula>$A3="note"</formula>
    </cfRule>
    <cfRule type="expression" dxfId="40" priority="111" stopIfTrue="1">
      <formula>$A3="barcode"</formula>
    </cfRule>
    <cfRule type="expression" dxfId="39" priority="113" stopIfTrue="1">
      <formula>OR($A3="geopoint", $A3="geoshape", $A3="geotrace")</formula>
    </cfRule>
  </conditionalFormatting>
  <conditionalFormatting sqref="A3">
    <cfRule type="expression" dxfId="38" priority="98" stopIfTrue="1">
      <formula>$A3="enumerator"</formula>
    </cfRule>
    <cfRule type="expression" dxfId="37" priority="123" stopIfTrue="1">
      <formula>$A3="text"</formula>
    </cfRule>
  </conditionalFormatting>
  <conditionalFormatting sqref="A3">
    <cfRule type="expression" dxfId="36" priority="119" stopIfTrue="1">
      <formula>$A3="decimal"</formula>
    </cfRule>
    <cfRule type="expression" dxfId="35" priority="121" stopIfTrue="1">
      <formula>$A3="integer"</formula>
    </cfRule>
  </conditionalFormatting>
  <conditionalFormatting sqref="C30:D30">
    <cfRule type="expression" dxfId="34" priority="2514">
      <formula>#REF!&lt;&gt;""</formula>
    </cfRule>
  </conditionalFormatting>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C3B76-175A-462A-A06E-4029A5155822}">
  <dimension ref="A1:D6"/>
  <sheetViews>
    <sheetView showGridLines="0" workbookViewId="0">
      <selection activeCell="D26" sqref="D26"/>
    </sheetView>
  </sheetViews>
  <sheetFormatPr baseColWidth="10" defaultColWidth="20.6640625" defaultRowHeight="15" x14ac:dyDescent="0.2"/>
  <cols>
    <col min="2" max="2" width="22.5" customWidth="1"/>
    <col min="3" max="3" width="3.83203125" customWidth="1"/>
  </cols>
  <sheetData>
    <row r="1" spans="1:4" x14ac:dyDescent="0.2">
      <c r="A1" s="1" t="s">
        <v>9</v>
      </c>
      <c r="B1" s="1" t="s">
        <v>10</v>
      </c>
      <c r="D1" s="1" t="s">
        <v>0</v>
      </c>
    </row>
    <row r="2" spans="1:4" x14ac:dyDescent="0.2">
      <c r="A2" s="1"/>
      <c r="B2" s="1"/>
    </row>
    <row r="3" spans="1:4" x14ac:dyDescent="0.2">
      <c r="A3" s="1"/>
      <c r="B3" s="1"/>
    </row>
    <row r="4" spans="1:4" x14ac:dyDescent="0.2">
      <c r="A4" s="1"/>
      <c r="B4" s="1"/>
    </row>
    <row r="5" spans="1:4" x14ac:dyDescent="0.2">
      <c r="A5" s="1"/>
    </row>
    <row r="6" spans="1:4" x14ac:dyDescent="0.2">
      <c r="A6" s="1"/>
    </row>
  </sheetData>
  <conditionalFormatting sqref="A1:B1 D1">
    <cfRule type="expression" dxfId="33" priority="2">
      <formula>$A1="groupname"</formula>
    </cfRule>
  </conditionalFormatting>
  <conditionalFormatting sqref="D1 A1:B1048576">
    <cfRule type="expression" dxfId="32" priority="1">
      <formula>$A1&lt;&gt;""</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constraints</vt:lpstr>
      <vt:lpstr>logic</vt:lpstr>
      <vt:lpstr>other specify</vt:lpstr>
      <vt:lpstr>text audits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2023-08-23T06:57:48Z</dcterms:modified>
</cp:coreProperties>
</file>